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6A2AFCBE-852C-4A84-B21D-09E80837218D}" xr6:coauthVersionLast="47" xr6:coauthVersionMax="47" xr10:uidLastSave="{00000000-0000-0000-0000-000000000000}"/>
  <bookViews>
    <workbookView xWindow="-120" yWindow="-120" windowWidth="20730" windowHeight="11160" firstSheet="1" activeTab="3" xr2:uid="{600AA332-56F3-41E1-987B-63301B4F141A}"/>
  </bookViews>
  <sheets>
    <sheet name="Introduction " sheetId="3" r:id="rId1"/>
    <sheet name="Vlookup" sheetId="4" r:id="rId2"/>
    <sheet name="Hlookup" sheetId="5" r:id="rId3"/>
    <sheet name="Xlookup" sheetId="6" r:id="rId4"/>
    <sheet name="Index + Match" sheetId="7" r:id="rId5"/>
    <sheet name="Example" sheetId="2" r:id="rId6"/>
    <sheet name="Vlookup with Sum" sheetId="8" r:id="rId7"/>
    <sheet name="HR Data" sheetId="9" r:id="rId8"/>
    <sheet name="Department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6" l="1" a="1"/>
  <c r="D23" i="7"/>
  <c r="D21" i="7"/>
  <c r="D19" i="7"/>
  <c r="E29" i="8" a="1"/>
  <c r="E27" i="8" a="1"/>
  <c r="E28" i="8" a="1"/>
  <c r="E26" i="8" a="1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<sst xmlns="http://schemas.openxmlformats.org/spreadsheetml/2006/main" count="931" uniqueCount="368">
  <si>
    <t>Account No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</si>
  <si>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</si>
  <si>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</si>
  <si>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</si>
  <si>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</si>
  <si>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</si>
  <si>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</si>
  <si>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</si>
  <si>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</si>
  <si>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</si>
  <si>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</si>
  <si>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</si>
  <si>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SR NO</t>
  </si>
  <si>
    <t>NAME OF STUDENT</t>
  </si>
  <si>
    <t>MARKS</t>
  </si>
  <si>
    <t>GRADE</t>
  </si>
  <si>
    <t>A</t>
  </si>
  <si>
    <t>B</t>
  </si>
  <si>
    <t>C</t>
  </si>
  <si>
    <t>D</t>
  </si>
  <si>
    <t>E</t>
  </si>
  <si>
    <t>F</t>
  </si>
  <si>
    <t>G</t>
  </si>
  <si>
    <t>H</t>
  </si>
  <si>
    <t>A+</t>
  </si>
  <si>
    <t>STATE</t>
  </si>
  <si>
    <t>CODE</t>
  </si>
  <si>
    <t>MAHARASHTRA</t>
  </si>
  <si>
    <t>GUJARAT</t>
  </si>
  <si>
    <t>GOA</t>
  </si>
  <si>
    <t>PUNJAB</t>
  </si>
  <si>
    <t>Lookup Functions in Excel</t>
  </si>
  <si>
    <t>Definition: Lookup functions are Excel functions used to search for a specific value in a dataset and return the related information from another row or column.</t>
  </si>
  <si>
    <t>Why do we use Lookup Functions?</t>
  </si>
  <si>
    <t>To quickly find data from large datasets.</t>
  </si>
  <si>
    <t>To retrieve related information automatically.</t>
  </si>
  <si>
    <t>To avoid searching data manually.</t>
  </si>
  <si>
    <t>To create dynamic reports and dashboards.</t>
  </si>
  <si>
    <t>Types of Lookup Functions</t>
  </si>
  <si>
    <t>Function</t>
  </si>
  <si>
    <t>Purpose</t>
  </si>
  <si>
    <t>VLOOKUP</t>
  </si>
  <si>
    <t>Searches vertically (top to bottom).</t>
  </si>
  <si>
    <t>HLOOKUP</t>
  </si>
  <si>
    <t>Searches horizontally (left to right).</t>
  </si>
  <si>
    <t>XLOOKUP</t>
  </si>
  <si>
    <t>INDEX + MATCH</t>
  </si>
  <si>
    <t>Flexible alternative to VLOOKUP and HLOOKUP.</t>
  </si>
  <si>
    <t>1. VLOOKUP (Vertical Lookup)</t>
  </si>
  <si>
    <t>Syntax: =VLOOKUP(lookup_value, table_array, col_index_num, [range_lookup])</t>
  </si>
  <si>
    <t>Argument</t>
  </si>
  <si>
    <t>Description</t>
  </si>
  <si>
    <t>lookup_value</t>
  </si>
  <si>
    <t>table_array</t>
  </si>
  <si>
    <t>col_index_num</t>
  </si>
  <si>
    <t>range_lookup</t>
  </si>
  <si>
    <r>
      <t>FALSE</t>
    </r>
    <r>
      <rPr>
        <sz val="11"/>
        <color theme="1"/>
        <rFont val="Aptos Narrow"/>
        <family val="2"/>
        <scheme val="minor"/>
      </rPr>
      <t xml:space="preserve"> → Returns an </t>
    </r>
    <r>
      <rPr>
        <b/>
        <sz val="11"/>
        <color theme="1"/>
        <rFont val="Aptos Narrow"/>
        <family val="2"/>
        <scheme val="minor"/>
      </rPr>
      <t>Exact Match</t>
    </r>
    <r>
      <rPr>
        <sz val="11"/>
        <color theme="1"/>
        <rFont val="Aptos Narrow"/>
        <family val="2"/>
        <scheme val="minor"/>
      </rPr>
      <t xml:space="preserve"> (most commonly used).</t>
    </r>
  </si>
  <si>
    <t xml:space="preserve">Searches in any direction </t>
  </si>
  <si>
    <t>Definition: The VLOOKUP (Vertical Lookup) function searches for a value vertically (top to bottom) and returns the corresponding information associated with that value.</t>
  </si>
  <si>
    <r>
      <t>Question: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the employee whose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E102</t>
    </r>
    <r>
      <rPr>
        <sz val="11"/>
        <color theme="1"/>
        <rFont val="Aptos Narrow"/>
        <family val="2"/>
        <scheme val="minor"/>
      </rPr>
      <t>.</t>
    </r>
  </si>
  <si>
    <t>Employee ID</t>
  </si>
  <si>
    <t>Employee Name</t>
  </si>
  <si>
    <t>Department</t>
  </si>
  <si>
    <t>Salary</t>
  </si>
  <si>
    <t>E101</t>
  </si>
  <si>
    <t>Rahul</t>
  </si>
  <si>
    <t>HR</t>
  </si>
  <si>
    <t>E102</t>
  </si>
  <si>
    <t>Priya</t>
  </si>
  <si>
    <t>IT</t>
  </si>
  <si>
    <t>E103</t>
  </si>
  <si>
    <t>Aman</t>
  </si>
  <si>
    <t>Sales</t>
  </si>
  <si>
    <t>E104</t>
  </si>
  <si>
    <t>Neha</t>
  </si>
  <si>
    <t>Finance</t>
  </si>
  <si>
    <r>
      <t>Question:</t>
    </r>
    <r>
      <rPr>
        <sz val="11"/>
        <color theme="1"/>
        <rFont val="Aptos Narrow"/>
        <family val="2"/>
        <scheme val="minor"/>
      </rPr>
      <t xml:space="preserve"> Find the </t>
    </r>
    <r>
      <rPr>
        <b/>
        <sz val="11"/>
        <color theme="1"/>
        <rFont val="Aptos Narrow"/>
        <family val="2"/>
        <scheme val="minor"/>
      </rPr>
      <t>Price</t>
    </r>
    <r>
      <rPr>
        <sz val="11"/>
        <color theme="1"/>
        <rFont val="Aptos Narrow"/>
        <family val="2"/>
        <scheme val="minor"/>
      </rPr>
      <t xml:space="preserve"> of the product whose </t>
    </r>
    <r>
      <rPr>
        <b/>
        <sz val="11"/>
        <color theme="1"/>
        <rFont val="Aptos Narrow"/>
        <family val="2"/>
        <scheme val="minor"/>
      </rPr>
      <t>Product ID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P103</t>
    </r>
    <r>
      <rPr>
        <sz val="11"/>
        <color theme="1"/>
        <rFont val="Aptos Narrow"/>
        <family val="2"/>
        <scheme val="minor"/>
      </rPr>
      <t>.</t>
    </r>
  </si>
  <si>
    <t>Product ID</t>
  </si>
  <si>
    <t>Product Name</t>
  </si>
  <si>
    <t>Price</t>
  </si>
  <si>
    <t>Category</t>
  </si>
  <si>
    <t>P101</t>
  </si>
  <si>
    <t>Laptop</t>
  </si>
  <si>
    <t>Electronics</t>
  </si>
  <si>
    <t>P102</t>
  </si>
  <si>
    <t>Mouse</t>
  </si>
  <si>
    <t>P103</t>
  </si>
  <si>
    <t>Chair</t>
  </si>
  <si>
    <t>Furniture</t>
  </si>
  <si>
    <t>P104</t>
  </si>
  <si>
    <t>Bottle</t>
  </si>
  <si>
    <t>Home</t>
  </si>
  <si>
    <t>Quantity</t>
  </si>
  <si>
    <t>HLOOKUP (Horizontal Lookup)</t>
  </si>
  <si>
    <t>Definition: The HLOOKUP (Horizontal Lookup) function searches for a value horizontally (left to right) in the first row of a table and returns the corresponding value from a specified row in the same column.</t>
  </si>
  <si>
    <t xml:space="preserve">Syntax : =HLOOKUP(lookup_value, table_array, row_index_num, [range_lookup]) </t>
  </si>
  <si>
    <t>The value you want to search for in the first row of the table.</t>
  </si>
  <si>
    <t>The range of cells that contains both the lookup value and the data to be returned.</t>
  </si>
  <si>
    <t>row_index_num</t>
  </si>
  <si>
    <r>
      <t xml:space="preserve">The row number in the selected table from which the result should be returned. The first row is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, the second is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and so on.</t>
    </r>
  </si>
  <si>
    <t>Specifies the type of match.</t>
  </si>
  <si>
    <r>
      <t>FALSE</t>
    </r>
    <r>
      <rPr>
        <sz val="11"/>
        <color theme="1"/>
        <rFont val="Aptos Narrow"/>
        <family val="2"/>
        <scheme val="minor"/>
      </rPr>
      <t xml:space="preserve"> → Exact Match (most commonly used).</t>
    </r>
  </si>
  <si>
    <r>
      <t>TRUE</t>
    </r>
    <r>
      <rPr>
        <sz val="11"/>
        <color theme="1"/>
        <rFont val="Aptos Narrow"/>
        <family val="2"/>
        <scheme val="minor"/>
      </rPr>
      <t xml:space="preserve"> → Approximate Match (the first row should be sorted in ascending order).</t>
    </r>
  </si>
  <si>
    <r>
      <t xml:space="preserve">Searches </t>
    </r>
    <r>
      <rPr>
        <b/>
        <sz val="11"/>
        <color theme="1"/>
        <rFont val="Aptos Narrow"/>
        <family val="2"/>
        <scheme val="minor"/>
      </rPr>
      <t>vertically</t>
    </r>
    <r>
      <rPr>
        <sz val="11"/>
        <color theme="1"/>
        <rFont val="Aptos Narrow"/>
        <family val="2"/>
        <scheme val="minor"/>
      </rPr>
      <t xml:space="preserve"> (top to bottom).</t>
    </r>
  </si>
  <si>
    <r>
      <t xml:space="preserve">Searches </t>
    </r>
    <r>
      <rPr>
        <b/>
        <sz val="11"/>
        <color theme="1"/>
        <rFont val="Aptos Narrow"/>
        <family val="2"/>
        <scheme val="minor"/>
      </rPr>
      <t>horizontally</t>
    </r>
    <r>
      <rPr>
        <sz val="11"/>
        <color theme="1"/>
        <rFont val="Aptos Narrow"/>
        <family val="2"/>
        <scheme val="minor"/>
      </rPr>
      <t xml:space="preserve"> (left to right).</t>
    </r>
  </si>
  <si>
    <r>
      <t xml:space="preserve">Looks in the </t>
    </r>
    <r>
      <rPr>
        <b/>
        <sz val="11"/>
        <color theme="1"/>
        <rFont val="Aptos Narrow"/>
        <family val="2"/>
        <scheme val="minor"/>
      </rPr>
      <t>first column</t>
    </r>
    <r>
      <rPr>
        <sz val="11"/>
        <color theme="1"/>
        <rFont val="Aptos Narrow"/>
        <family val="2"/>
        <scheme val="minor"/>
      </rPr>
      <t>.</t>
    </r>
  </si>
  <si>
    <r>
      <t xml:space="preserve">Looks in the </t>
    </r>
    <r>
      <rPr>
        <b/>
        <sz val="11"/>
        <color theme="1"/>
        <rFont val="Aptos Narrow"/>
        <family val="2"/>
        <scheme val="minor"/>
      </rPr>
      <t>first row</t>
    </r>
    <r>
      <rPr>
        <sz val="11"/>
        <color theme="1"/>
        <rFont val="Aptos Narrow"/>
        <family val="2"/>
        <scheme val="minor"/>
      </rPr>
      <t>.</t>
    </r>
  </si>
  <si>
    <r>
      <t xml:space="preserve">Returns data from a specified </t>
    </r>
    <r>
      <rPr>
        <b/>
        <sz val="11"/>
        <color theme="1"/>
        <rFont val="Aptos Narrow"/>
        <family val="2"/>
        <scheme val="minor"/>
      </rPr>
      <t>column</t>
    </r>
    <r>
      <rPr>
        <sz val="11"/>
        <color theme="1"/>
        <rFont val="Aptos Narrow"/>
        <family val="2"/>
        <scheme val="minor"/>
      </rPr>
      <t>.</t>
    </r>
  </si>
  <si>
    <r>
      <t xml:space="preserve">Returns data from a specified </t>
    </r>
    <r>
      <rPr>
        <b/>
        <sz val="11"/>
        <color theme="1"/>
        <rFont val="Aptos Narrow"/>
        <family val="2"/>
        <scheme val="minor"/>
      </rPr>
      <t>row</t>
    </r>
    <r>
      <rPr>
        <sz val="11"/>
        <color theme="1"/>
        <rFont val="Aptos Narrow"/>
        <family val="2"/>
        <scheme val="minor"/>
      </rPr>
      <t>.</t>
    </r>
  </si>
  <si>
    <r>
      <t xml:space="preserve">Uses </t>
    </r>
    <r>
      <rPr>
        <b/>
        <sz val="11"/>
        <color theme="1"/>
        <rFont val="Aptos Narrow"/>
        <family val="2"/>
        <scheme val="minor"/>
      </rPr>
      <t>column index number</t>
    </r>
    <r>
      <rPr>
        <sz val="11"/>
        <color theme="1"/>
        <rFont val="Aptos Narrow"/>
        <family val="2"/>
        <scheme val="minor"/>
      </rPr>
      <t>.</t>
    </r>
  </si>
  <si>
    <r>
      <t xml:space="preserve">Uses </t>
    </r>
    <r>
      <rPr>
        <b/>
        <sz val="11"/>
        <color theme="1"/>
        <rFont val="Aptos Narrow"/>
        <family val="2"/>
        <scheme val="minor"/>
      </rPr>
      <t>row index number</t>
    </r>
    <r>
      <rPr>
        <sz val="11"/>
        <color theme="1"/>
        <rFont val="Aptos Narrow"/>
        <family val="2"/>
        <scheme val="minor"/>
      </rPr>
      <t>.</t>
    </r>
  </si>
  <si>
    <t>PRODUCT NAME</t>
  </si>
  <si>
    <t>SUM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</si>
  <si>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</si>
  <si>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</si>
  <si>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</si>
  <si>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</si>
  <si>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</si>
  <si>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</si>
  <si>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</si>
  <si>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</si>
  <si>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</si>
  <si>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</si>
  <si>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TOTAL UNITS</t>
  </si>
  <si>
    <t>Employee_ID</t>
  </si>
  <si>
    <t>Name</t>
  </si>
  <si>
    <t>Gender</t>
  </si>
  <si>
    <t>MaritalStatus</t>
  </si>
  <si>
    <t>Department_ID</t>
  </si>
  <si>
    <t>Grade</t>
  </si>
  <si>
    <t>Employee_Count</t>
  </si>
  <si>
    <t>Job_Satisfaction</t>
  </si>
  <si>
    <t>MonthlyIncome</t>
  </si>
  <si>
    <t>Age</t>
  </si>
  <si>
    <t>Job Type</t>
  </si>
  <si>
    <t>Hire_Date</t>
  </si>
  <si>
    <t>Company_Environment</t>
  </si>
  <si>
    <t>TrainingTimesLastYear</t>
  </si>
  <si>
    <t>WorkLifeBalance</t>
  </si>
  <si>
    <t>Country</t>
  </si>
  <si>
    <t>Joshua Grant</t>
  </si>
  <si>
    <t>Male</t>
  </si>
  <si>
    <t>Divorced</t>
  </si>
  <si>
    <t>Permanent</t>
  </si>
  <si>
    <t>United States</t>
  </si>
  <si>
    <t>Laura Bishop</t>
  </si>
  <si>
    <t>Ariana Potter</t>
  </si>
  <si>
    <t>Married</t>
  </si>
  <si>
    <t>Priscilla Bean</t>
  </si>
  <si>
    <t>Single</t>
  </si>
  <si>
    <t>Willie Arellano</t>
  </si>
  <si>
    <t>Hailey Aguirre</t>
  </si>
  <si>
    <t>Anita Burnett</t>
  </si>
  <si>
    <t>United Kingdom</t>
  </si>
  <si>
    <t>Chelsey Singh</t>
  </si>
  <si>
    <t>Bernard Schroeder</t>
  </si>
  <si>
    <t>Karen Brown</t>
  </si>
  <si>
    <t>Jocelyn Hodge</t>
  </si>
  <si>
    <t>Brandon Campbell</t>
  </si>
  <si>
    <t>Jay Lawson</t>
  </si>
  <si>
    <t>Australia</t>
  </si>
  <si>
    <t>Caleb Nguyen</t>
  </si>
  <si>
    <t>Melissa Palmer</t>
  </si>
  <si>
    <t>Tiffany Donovan</t>
  </si>
  <si>
    <t>Willie Ewing</t>
  </si>
  <si>
    <t>Catherine Summers</t>
  </si>
  <si>
    <t>Rebecca Beasley</t>
  </si>
  <si>
    <t>Katelyn Burns</t>
  </si>
  <si>
    <t>Heidi Brock</t>
  </si>
  <si>
    <t>Kelly Gentry</t>
  </si>
  <si>
    <t>Alicia Orr</t>
  </si>
  <si>
    <t>Christina Barnett</t>
  </si>
  <si>
    <t>Regina Carlson</t>
  </si>
  <si>
    <t>Donald Nash</t>
  </si>
  <si>
    <t>Tim Frey</t>
  </si>
  <si>
    <t>Fred Dennis</t>
  </si>
  <si>
    <t>Juan Pratt</t>
  </si>
  <si>
    <t>Ivan Newton</t>
  </si>
  <si>
    <t>Suzanne Hendrix</t>
  </si>
  <si>
    <t>Poland</t>
  </si>
  <si>
    <t>Johnny Elliott</t>
  </si>
  <si>
    <t>Kathy Yoder</t>
  </si>
  <si>
    <t>Candice Barber</t>
  </si>
  <si>
    <t>Lee Tran</t>
  </si>
  <si>
    <t>Eugene Harper</t>
  </si>
  <si>
    <t>Danny Gamble</t>
  </si>
  <si>
    <t>Tyrone Strong</t>
  </si>
  <si>
    <t>Elijah Rasmussen</t>
  </si>
  <si>
    <t>Kirk Schwartz</t>
  </si>
  <si>
    <t>Clifford Garner</t>
  </si>
  <si>
    <t>Shane Dunlap</t>
  </si>
  <si>
    <t>Shirley Rios</t>
  </si>
  <si>
    <t>Jeffrey Frey</t>
  </si>
  <si>
    <t>Ryan Kemp</t>
  </si>
  <si>
    <t>Geoffrey Hernandez</t>
  </si>
  <si>
    <t>Bryce Frye</t>
  </si>
  <si>
    <t>Jon Branch</t>
  </si>
  <si>
    <t>Jeanne Galvan</t>
  </si>
  <si>
    <t>Summer Kaiser</t>
  </si>
  <si>
    <t>Gerald Young</t>
  </si>
  <si>
    <t>Maria Oliver</t>
  </si>
  <si>
    <t>Eddie Vang</t>
  </si>
  <si>
    <t>Edward Cummings</t>
  </si>
  <si>
    <t>Alec Moore</t>
  </si>
  <si>
    <t>Jason Good</t>
  </si>
  <si>
    <t>Dillon Zuniga</t>
  </si>
  <si>
    <t>Cassandra Howe</t>
  </si>
  <si>
    <t>Pedro Flynn</t>
  </si>
  <si>
    <t>France</t>
  </si>
  <si>
    <t>Kyle Thomas</t>
  </si>
  <si>
    <t>Mariah Vasquez</t>
  </si>
  <si>
    <t>Angela Mccarthy</t>
  </si>
  <si>
    <t>Krista Oneill</t>
  </si>
  <si>
    <t>Lindsey Rice</t>
  </si>
  <si>
    <t>Marketing</t>
  </si>
  <si>
    <t>Sherry Caldwell</t>
  </si>
  <si>
    <t>Ernest Hoffman</t>
  </si>
  <si>
    <t>Doris Andersen</t>
  </si>
  <si>
    <t>Cheryl Mays</t>
  </si>
  <si>
    <t>Harry Mitchell</t>
  </si>
  <si>
    <t>Casey Ayala</t>
  </si>
  <si>
    <t>Sara Huff</t>
  </si>
  <si>
    <t>Eddie Barnes</t>
  </si>
  <si>
    <t>Ralph Lowe</t>
  </si>
  <si>
    <t>Priscilla Davis</t>
  </si>
  <si>
    <t>Carly Abbott</t>
  </si>
  <si>
    <t>Nicolas Mckinney</t>
  </si>
  <si>
    <t>Natasha Macias</t>
  </si>
  <si>
    <t>Shelia Mahoney</t>
  </si>
  <si>
    <t>Human Resource</t>
  </si>
  <si>
    <t>Courtney Jenkins</t>
  </si>
  <si>
    <t>Meghan Hawkins</t>
  </si>
  <si>
    <t>Catherine Nash</t>
  </si>
  <si>
    <t>Hunter Hahn</t>
  </si>
  <si>
    <t>Todd Weber</t>
  </si>
  <si>
    <t>Seth Hess</t>
  </si>
  <si>
    <t>Stefanie Sherman</t>
  </si>
  <si>
    <t>Angela Huff</t>
  </si>
  <si>
    <t>Vincent Berger</t>
  </si>
  <si>
    <t>Erik Rosales</t>
  </si>
  <si>
    <t>Chloe Ramirez</t>
  </si>
  <si>
    <t>Rickey Hobbs</t>
  </si>
  <si>
    <t>Christina Conrad</t>
  </si>
  <si>
    <t>Steve Donovan</t>
  </si>
  <si>
    <t>Shane Reyes</t>
  </si>
  <si>
    <t>Joanna Doyle</t>
  </si>
  <si>
    <t>Vickie Mccoy</t>
  </si>
  <si>
    <t>Eddie Daniels</t>
  </si>
  <si>
    <t>Department_Name</t>
  </si>
  <si>
    <t>Tech</t>
  </si>
  <si>
    <t>Commercial</t>
  </si>
  <si>
    <t>POINTS</t>
  </si>
  <si>
    <t>REMARKS</t>
  </si>
  <si>
    <t>EASY</t>
  </si>
  <si>
    <t>MEDIUM</t>
  </si>
  <si>
    <t>HARD</t>
  </si>
  <si>
    <t>EXPERT</t>
  </si>
  <si>
    <t>The value you want to search for</t>
  </si>
  <si>
    <t>The selected range that contains your data</t>
  </si>
  <si>
    <t>Specifies whether you want an Exact Match (FALSE) or an Approximate Match (TRUE).</t>
  </si>
  <si>
    <r>
      <t xml:space="preserve">TRUE → Returns an </t>
    </r>
    <r>
      <rPr>
        <b/>
        <sz val="11"/>
        <color theme="1"/>
        <rFont val="Aptos Narrow"/>
        <family val="2"/>
        <scheme val="minor"/>
      </rPr>
      <t>Approximate Match</t>
    </r>
    <r>
      <rPr>
        <sz val="11"/>
        <color theme="1"/>
        <rFont val="Aptos Narrow"/>
        <family val="2"/>
        <scheme val="minor"/>
      </rPr>
      <t xml:space="preserve"> </t>
    </r>
  </si>
  <si>
    <t>Keyboard</t>
  </si>
  <si>
    <t>Monitor</t>
  </si>
  <si>
    <t>Table 2: Sales Data</t>
  </si>
  <si>
    <t>Table 1: Product Master</t>
  </si>
  <si>
    <t>Fail</t>
  </si>
  <si>
    <t>Points</t>
  </si>
  <si>
    <t>Remarks</t>
  </si>
  <si>
    <t>The column number (within the selected table) from which the result should be returned.</t>
  </si>
  <si>
    <r>
      <t>Question:</t>
    </r>
    <r>
      <rPr>
        <sz val="11"/>
        <color theme="1"/>
        <rFont val="Aptos Narrow"/>
        <family val="2"/>
        <scheme val="minor"/>
      </rPr>
      <t xml:space="preserve"> Use VLOOKUP to fetch the Price for each product in the Sales Data.</t>
    </r>
  </si>
  <si>
    <r>
      <rPr>
        <b/>
        <sz val="11"/>
        <color theme="1"/>
        <rFont val="Aptos Narrow"/>
        <family val="2"/>
        <scheme val="minor"/>
      </rPr>
      <t>Question :</t>
    </r>
    <r>
      <rPr>
        <sz val="11"/>
        <color theme="1"/>
        <rFont val="Aptos Narrow"/>
        <family val="2"/>
        <scheme val="minor"/>
      </rPr>
      <t xml:space="preserve"> Calculate the Grade of each student using the Grade Criteria table.</t>
    </r>
  </si>
  <si>
    <r>
      <rPr>
        <b/>
        <sz val="11"/>
        <color theme="1"/>
        <rFont val="Aptos Narrow"/>
        <family val="2"/>
        <scheme val="minor"/>
      </rPr>
      <t>Question</t>
    </r>
    <r>
      <rPr>
        <sz val="11"/>
        <color theme="1"/>
        <rFont val="Aptos Narrow"/>
        <family val="2"/>
        <scheme val="minor"/>
      </rPr>
      <t xml:space="preserve"> : Assign the appropriate Remarks based on the Points using the Remarks Criteria table.</t>
    </r>
  </si>
  <si>
    <t>Question: Use HLOOKUP to find the Department, Salary, and Experience of Employee ID E103.</t>
  </si>
  <si>
    <t>E105</t>
  </si>
  <si>
    <t>Riya</t>
  </si>
  <si>
    <t>City</t>
  </si>
  <si>
    <t>Mumbai</t>
  </si>
  <si>
    <t>Pune</t>
  </si>
  <si>
    <t>Delhi</t>
  </si>
  <si>
    <t>Bangalore</t>
  </si>
  <si>
    <t>Hyderabad</t>
  </si>
  <si>
    <t xml:space="preserve">Experience </t>
  </si>
  <si>
    <r>
      <t xml:space="preserve">Question: </t>
    </r>
    <r>
      <rPr>
        <sz val="11"/>
        <color theme="1"/>
        <rFont val="Aptos Narrow"/>
        <family val="2"/>
        <scheme val="minor"/>
      </rPr>
      <t>Use HLOOKUP to find the Branch for Account Number A1005.</t>
    </r>
  </si>
  <si>
    <t>A1001</t>
  </si>
  <si>
    <t>A1002</t>
  </si>
  <si>
    <t>A1003</t>
  </si>
  <si>
    <t>A1004</t>
  </si>
  <si>
    <t>A1005</t>
  </si>
  <si>
    <t>Customer Name</t>
  </si>
  <si>
    <t>Rohan</t>
  </si>
  <si>
    <t>Account Type</t>
  </si>
  <si>
    <t>Current</t>
  </si>
  <si>
    <t>Balance</t>
  </si>
  <si>
    <t>Chennai</t>
  </si>
  <si>
    <t xml:space="preserve">NAME </t>
  </si>
  <si>
    <t xml:space="preserve"> Age </t>
  </si>
  <si>
    <t xml:space="preserve">Class </t>
  </si>
  <si>
    <t xml:space="preserve">Center </t>
  </si>
  <si>
    <t xml:space="preserve"> Abhijeet </t>
  </si>
  <si>
    <t>Thane</t>
  </si>
  <si>
    <t>Aly</t>
  </si>
  <si>
    <t xml:space="preserve"> Male </t>
  </si>
  <si>
    <t>Mumbra</t>
  </si>
  <si>
    <t>Bilal</t>
  </si>
  <si>
    <t>Female</t>
  </si>
  <si>
    <t>Vashi</t>
  </si>
  <si>
    <t xml:space="preserve">Iqra </t>
  </si>
  <si>
    <t>Kalyan</t>
  </si>
  <si>
    <t xml:space="preserve">Rohit </t>
  </si>
  <si>
    <t xml:space="preserve">Male </t>
  </si>
  <si>
    <t xml:space="preserve"> Abbas</t>
  </si>
  <si>
    <t>Tushar</t>
  </si>
  <si>
    <t>jayesh</t>
  </si>
  <si>
    <t>Priyanka</t>
  </si>
  <si>
    <t>sam</t>
  </si>
  <si>
    <t>shaukat</t>
  </si>
  <si>
    <t xml:space="preserve">nadeem </t>
  </si>
  <si>
    <t>ayesha</t>
  </si>
  <si>
    <t>ayaan</t>
  </si>
  <si>
    <r>
      <rPr>
        <b/>
        <sz val="11"/>
        <color theme="1"/>
        <rFont val="Aptos Narrow"/>
        <family val="2"/>
        <scheme val="minor"/>
      </rPr>
      <t>Question</t>
    </r>
    <r>
      <rPr>
        <sz val="11"/>
        <color theme="1"/>
        <rFont val="Aptos Narrow"/>
        <family val="2"/>
        <scheme val="minor"/>
      </rPr>
      <t xml:space="preserve"> : Use the </t>
    </r>
    <r>
      <rPr>
        <b/>
        <sz val="11"/>
        <color theme="1"/>
        <rFont val="Aptos Narrow"/>
        <family val="2"/>
        <scheme val="minor"/>
      </rPr>
      <t>HLOOKUP</t>
    </r>
    <r>
      <rPr>
        <sz val="11"/>
        <color theme="1"/>
        <rFont val="Aptos Narrow"/>
        <family val="2"/>
        <scheme val="minor"/>
      </rPr>
      <t xml:space="preserve"> function to retrieve the </t>
    </r>
    <r>
      <rPr>
        <b/>
        <sz val="11"/>
        <color theme="1"/>
        <rFont val="Aptos Narrow"/>
        <family val="2"/>
        <scheme val="minor"/>
      </rPr>
      <t>Training Date</t>
    </r>
    <r>
      <rPr>
        <sz val="11"/>
        <color theme="1"/>
        <rFont val="Aptos Narrow"/>
        <family val="2"/>
        <scheme val="minor"/>
      </rPr>
      <t xml:space="preserve"> for each student based on their </t>
    </r>
    <r>
      <rPr>
        <b/>
        <sz val="11"/>
        <color theme="1"/>
        <rFont val="Aptos Narrow"/>
        <family val="2"/>
        <scheme val="minor"/>
      </rPr>
      <t>Center</t>
    </r>
    <r>
      <rPr>
        <sz val="11"/>
        <color theme="1"/>
        <rFont val="Aptos Narrow"/>
        <family val="2"/>
        <scheme val="minor"/>
      </rPr>
      <t>.</t>
    </r>
  </si>
  <si>
    <t xml:space="preserve">Traning Date </t>
  </si>
  <si>
    <t>Index and Match</t>
  </si>
  <si>
    <t>ID</t>
  </si>
  <si>
    <t>Course</t>
  </si>
  <si>
    <t>Fees</t>
  </si>
  <si>
    <t>Ayaan</t>
  </si>
  <si>
    <t>Excel</t>
  </si>
  <si>
    <t>Sara</t>
  </si>
  <si>
    <t>Python</t>
  </si>
  <si>
    <t>Power BI</t>
  </si>
  <si>
    <t>Zoya</t>
  </si>
  <si>
    <t>Data Science</t>
  </si>
  <si>
    <t>Ali</t>
  </si>
  <si>
    <t>SQL</t>
  </si>
  <si>
    <t>What is INDEX + MATCH?</t>
  </si>
  <si>
    <r>
      <t>MATCH</t>
    </r>
    <r>
      <rPr>
        <sz val="11"/>
        <color theme="1"/>
        <rFont val="Aptos Narrow"/>
        <family val="2"/>
        <scheme val="minor"/>
      </rPr>
      <t xml:space="preserve"> → Finds the </t>
    </r>
    <r>
      <rPr>
        <b/>
        <sz val="11"/>
        <color theme="1"/>
        <rFont val="Aptos Narrow"/>
        <family val="2"/>
        <scheme val="minor"/>
      </rPr>
      <t>position</t>
    </r>
    <r>
      <rPr>
        <sz val="11"/>
        <color theme="1"/>
        <rFont val="Aptos Narrow"/>
        <family val="2"/>
        <scheme val="minor"/>
      </rPr>
      <t xml:space="preserve"> (row or column number) of a lookup value.</t>
    </r>
  </si>
  <si>
    <r>
      <t>INDEX</t>
    </r>
    <r>
      <rPr>
        <sz val="11"/>
        <color theme="1"/>
        <rFont val="Aptos Narrow"/>
        <family val="2"/>
        <scheme val="minor"/>
      </rPr>
      <t xml:space="preserve"> → Returns the value from a specified row and column in a selected range.</t>
    </r>
  </si>
  <si>
    <r>
      <t xml:space="preserve">When combined, </t>
    </r>
    <r>
      <rPr>
        <b/>
        <sz val="11"/>
        <color theme="1"/>
        <rFont val="Aptos Narrow"/>
        <family val="2"/>
        <scheme val="minor"/>
      </rPr>
      <t>INDEX + MATCH</t>
    </r>
    <r>
      <rPr>
        <sz val="11"/>
        <color theme="1"/>
        <rFont val="Aptos Narrow"/>
        <family val="2"/>
        <scheme val="minor"/>
      </rPr>
      <t xml:space="preserve"> is used to search for a value and return the corresponding result. It is more flexible than VLOOKUP because it can look up values from any column.</t>
    </r>
  </si>
  <si>
    <t>Find the Fees of the 5th student using the INDEX function.(index)</t>
  </si>
  <si>
    <t>Find the position of "Sara" using the MATCH function.(Match)</t>
  </si>
  <si>
    <t>Find the Fees of "Zoya" using the INDEX + MATCH function.</t>
  </si>
  <si>
    <r>
      <t xml:space="preserve">The </t>
    </r>
    <r>
      <rPr>
        <b/>
        <sz val="11"/>
        <color theme="1"/>
        <rFont val="Aptos Narrow"/>
        <family val="2"/>
        <scheme val="minor"/>
      </rPr>
      <t>XLOOKUP</t>
    </r>
    <r>
      <rPr>
        <sz val="11"/>
        <color theme="1"/>
        <rFont val="Aptos Narrow"/>
        <family val="2"/>
        <scheme val="minor"/>
      </rPr>
      <t xml:space="preserve"> function searches for a value in a specified row or column and returns the corresponding value from another row or column. </t>
    </r>
  </si>
  <si>
    <t>It can search left, right, up, or down, making it more flexible than VLOOKUP and HLOOKUP.</t>
  </si>
  <si>
    <t>Syntax : =XLOOKUP(lookup_value, lookup_array, return_array, [if_not_found], [match_mode], [search_mode])</t>
  </si>
  <si>
    <t>The value you want to search for.</t>
  </si>
  <si>
    <t>lookup_array</t>
  </si>
  <si>
    <t>The row or column where Excel searches for the lookup value.</t>
  </si>
  <si>
    <t>return_array</t>
  </si>
  <si>
    <t>The row or column from which the result will be returned.</t>
  </si>
  <si>
    <r>
      <t>if_not_found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</si>
  <si>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t>Returns a custom message if the lookup value is not found.</t>
  </si>
  <si>
    <r>
      <t>match_mode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</si>
  <si>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r>
      <t xml:space="preserve">Specifies the type of match. </t>
    </r>
    <r>
      <rPr>
        <sz val="10"/>
        <color theme="1"/>
        <rFont val="Arial Unicode MS"/>
        <family val="2"/>
      </rPr>
      <t>0</t>
    </r>
    <r>
      <rPr>
        <sz val="11"/>
        <color theme="1"/>
        <rFont val="Aptos Narrow"/>
        <family val="2"/>
        <scheme val="minor"/>
      </rPr>
      <t xml:space="preserve"> = Exact Match (Default), </t>
    </r>
    <r>
      <rPr>
        <sz val="10"/>
        <color theme="1"/>
        <rFont val="Arial Unicode MS"/>
        <family val="2"/>
      </rPr>
      <t>-1</t>
    </r>
    <r>
      <rPr>
        <sz val="11"/>
        <color theme="1"/>
        <rFont val="Aptos Narrow"/>
        <family val="2"/>
        <scheme val="minor"/>
      </rPr>
      <t xml:space="preserve"> = Exact or Next Smaller, </t>
    </r>
    <r>
      <rPr>
        <sz val="10"/>
        <color theme="1"/>
        <rFont val="Arial Unicode MS"/>
        <family val="2"/>
      </rPr>
      <t>1</t>
    </r>
    <r>
      <rPr>
        <sz val="11"/>
        <color theme="1"/>
        <rFont val="Aptos Narrow"/>
        <family val="2"/>
        <scheme val="minor"/>
      </rPr>
      <t xml:space="preserve"> = Exact or Next Larger, </t>
    </r>
    <r>
      <rPr>
        <sz val="10"/>
        <color theme="1"/>
        <rFont val="Arial Unicode MS"/>
        <family val="2"/>
      </rPr>
      <t>2</t>
    </r>
    <r>
      <rPr>
        <sz val="11"/>
        <color theme="1"/>
        <rFont val="Aptos Narrow"/>
        <family val="2"/>
        <scheme val="minor"/>
      </rPr>
      <t xml:space="preserve"> = Wildcard Match.</t>
    </r>
  </si>
  <si>
    <r>
      <t>search_mode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</si>
  <si>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r>
      <t xml:space="preserve">Specifies the search direction. </t>
    </r>
    <r>
      <rPr>
        <sz val="10"/>
        <color theme="1"/>
        <rFont val="Arial Unicode MS"/>
        <family val="2"/>
      </rPr>
      <t>1</t>
    </r>
    <r>
      <rPr>
        <sz val="11"/>
        <color theme="1"/>
        <rFont val="Aptos Narrow"/>
        <family val="2"/>
        <scheme val="minor"/>
      </rPr>
      <t xml:space="preserve"> = First to Last (Default), </t>
    </r>
    <r>
      <rPr>
        <sz val="10"/>
        <color theme="1"/>
        <rFont val="Arial Unicode MS"/>
        <family val="2"/>
      </rPr>
      <t>-1</t>
    </r>
    <r>
      <rPr>
        <sz val="11"/>
        <color theme="1"/>
        <rFont val="Aptos Narrow"/>
        <family val="2"/>
        <scheme val="minor"/>
      </rPr>
      <t xml:space="preserve"> = Last to First.</t>
    </r>
  </si>
  <si>
    <t>Why do we use XLOOKUP?</t>
  </si>
  <si>
    <t>Finds data more easily than VLOOKUP.</t>
  </si>
  <si>
    <r>
      <t xml:space="preserve">Can search </t>
    </r>
    <r>
      <rPr>
        <b/>
        <sz val="11"/>
        <color theme="1"/>
        <rFont val="Aptos Narrow"/>
        <family val="2"/>
        <scheme val="minor"/>
      </rPr>
      <t>left and right</t>
    </r>
    <r>
      <rPr>
        <sz val="11"/>
        <color theme="1"/>
        <rFont val="Aptos Narrow"/>
        <family val="2"/>
        <scheme val="minor"/>
      </rPr>
      <t>.</t>
    </r>
  </si>
  <si>
    <t>No need to count column numbers.</t>
  </si>
  <si>
    <t>Returns a custom message if the value is not found.</t>
  </si>
  <si>
    <t>Easier to understand and maintain.</t>
  </si>
  <si>
    <r>
      <t xml:space="preserve">A bank stores customer account details in a database. The bank executive enters an </t>
    </r>
    <r>
      <rPr>
        <b/>
        <sz val="11"/>
        <color theme="1"/>
        <rFont val="Aptos Narrow"/>
        <family val="2"/>
        <scheme val="minor"/>
      </rPr>
      <t>Account Number</t>
    </r>
    <r>
      <rPr>
        <sz val="11"/>
        <color theme="1"/>
        <rFont val="Aptos Narrow"/>
        <family val="2"/>
        <scheme val="minor"/>
      </rPr>
      <t xml:space="preserve"> and wants to retrieve the customer's information automatically.</t>
    </r>
  </si>
  <si>
    <t>Amount</t>
  </si>
  <si>
    <t>Difference between VLOOKUP and XLOOKUP</t>
  </si>
  <si>
    <t>Difference between HLOOKUP and LVOOKUP</t>
  </si>
  <si>
    <t>Searches only from left to right.</t>
  </si>
  <si>
    <t>Requires a column index number.</t>
  </si>
  <si>
    <r>
      <t xml:space="preserve">Returns </t>
    </r>
    <r>
      <rPr>
        <sz val="10"/>
        <color theme="1"/>
        <rFont val="Arial Unicode MS"/>
        <family val="2"/>
      </rPr>
      <t>#N/A</t>
    </r>
    <r>
      <rPr>
        <sz val="11"/>
        <color theme="1"/>
        <rFont val="Aptos Narrow"/>
        <family val="2"/>
        <scheme val="minor"/>
      </rPr>
      <t xml:space="preserve"> if not found (unless wrapped in IFERROR).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</si>
</sst>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1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charset val="134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indexed="8"/>
      <name val="Calibri"/>
      <charset val="134"/>
    </font>
    <font>
      <sz val="14"/>
      <color indexed="8"/>
      <name val="Aptos Narrow"/>
      <family val="2"/>
    </font>
    <font>
      <b/>
      <sz val="14"/>
      <color indexed="9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</font>
    <font>
      <b/>
      <sz val="20"/>
      <color rgb="FFFFFFFF"/>
      <name val="Calibri"/>
      <family val="2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theme="1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333F4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164" fontId="4" fillId="0" borderId="0" applyFont="0" applyFill="0" applyBorder="0" applyAlignment="0" applyProtection="0"/>
  </cellStyleXfs>
  <cellXfs count="72">
    <xf numFmtId="0" fontId="0" fillId="0" borderId="0" xfId="0"/>
    <xf numFmtId="165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165" fontId="1" fillId="2" borderId="1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2" fillId="0" borderId="12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7" fillId="0" borderId="13" xfId="0" applyFont="1" applyBorder="1" applyAlignment="1">
      <alignment horizontal="center"/>
    </xf>
    <xf numFmtId="0" fontId="0" fillId="0" borderId="12" xfId="0" applyBorder="1"/>
    <xf numFmtId="0" fontId="0" fillId="0" borderId="1" xfId="0" applyBorder="1"/>
    <xf numFmtId="0" fontId="9" fillId="4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166" fontId="8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5" fillId="3" borderId="0" xfId="0" applyFont="1" applyFill="1" applyAlignment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2" borderId="1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0" applyFont="1" applyAlignment="1"/>
    <xf numFmtId="0" fontId="1" fillId="5" borderId="13" xfId="0" applyFont="1" applyFill="1" applyBorder="1" applyAlignment="1">
      <alignment horizontal="center" vertical="center" wrapText="1"/>
    </xf>
    <xf numFmtId="0" fontId="13" fillId="0" borderId="17" xfId="0" applyNumberFormat="1" applyFont="1" applyFill="1" applyBorder="1" applyAlignment="1" applyProtection="1">
      <alignment horizontal="center"/>
    </xf>
    <xf numFmtId="14" fontId="13" fillId="0" borderId="17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>
      <alignment horizontal="center"/>
    </xf>
    <xf numFmtId="14" fontId="13" fillId="0" borderId="17" xfId="0" applyNumberFormat="1" applyFont="1" applyFill="1" applyBorder="1" applyAlignment="1" applyProtection="1">
      <alignment horizontal="center"/>
    </xf>
    <xf numFmtId="0" fontId="0" fillId="0" borderId="13" xfId="0" applyBorder="1" applyAlignment="1">
      <alignment horizontal="left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4" fillId="6" borderId="0" xfId="0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0" fillId="0" borderId="0" xfId="0" applyAlignment="1"/>
    <xf numFmtId="0" fontId="10" fillId="0" borderId="13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14" fontId="11" fillId="0" borderId="13" xfId="0" applyNumberFormat="1" applyFont="1" applyBorder="1" applyAlignment="1">
      <alignment horizontal="center" wrapText="1"/>
    </xf>
    <xf numFmtId="0" fontId="18" fillId="0" borderId="0" xfId="0" applyFont="1" applyAlignment="1">
      <alignment vertical="center"/>
    </xf>
    <xf numFmtId="0" fontId="0" fillId="0" borderId="13" xfId="0" applyBorder="1" applyAlignment="1">
      <alignment horizontal="center"/>
    </xf>
  </cellXfs>
  <cellStyles count="3">
    <cellStyle name="Comma 2" xfId="2" xr:uid="{A26FC0FB-8804-45E9-BCDA-CDC1F1D8FD2D}"/>
    <cellStyle name="Normal" xfId="0" builtinId="0"/>
    <cellStyle name="Normal 2" xfId="1" xr:uid="{85A26E84-A83D-4262-8004-F8DB60E70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BE98-BF49-4127-B95B-ED6AD32A19CA}">
  <dimension ref="A1:T20"/>
  <sheetViews>
    <sheetView topLeftCell="A19" workbookViewId="0">
      <selection activeCell="E11" sqref="E11"/>
    </sheetView>
  </sheetViews>
  <sheetFormatPr defaultRowHeight="15"/>
  <cols>
    <col min="2" max="2" width="16.140625" customWidth="1"/>
    <col min="3" max="3" width="15" customWidth="1"/>
  </cols>
  <sheetData>
    <row r="1" spans="1:20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4" spans="1:20" ht="18">
      <c r="A4" s="7" t="s">
        <v>32</v>
      </c>
    </row>
    <row r="6" spans="1:20" ht="18">
      <c r="A6" s="7" t="s">
        <v>33</v>
      </c>
    </row>
    <row r="7" spans="1:20">
      <c r="A7" s="8" t="s">
        <v>34</v>
      </c>
    </row>
    <row r="8" spans="1:20">
      <c r="A8" s="8" t="s">
        <v>35</v>
      </c>
    </row>
    <row r="9" spans="1:20">
      <c r="A9" s="8" t="s">
        <v>36</v>
      </c>
    </row>
    <row r="10" spans="1:20">
      <c r="A10" s="8" t="s">
        <v>37</v>
      </c>
    </row>
    <row r="12" spans="1:20">
      <c r="A12" s="32" t="s">
        <v>38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5" spans="1:20">
      <c r="B15" s="12" t="s">
        <v>39</v>
      </c>
      <c r="C15" s="38" t="s">
        <v>40</v>
      </c>
      <c r="D15" s="38"/>
      <c r="E15" s="38"/>
      <c r="F15" s="38"/>
      <c r="G15" s="38"/>
      <c r="H15" s="38"/>
    </row>
    <row r="16" spans="1:20">
      <c r="B16" s="12" t="s">
        <v>41</v>
      </c>
      <c r="C16" s="33" t="s">
        <v>42</v>
      </c>
      <c r="D16" s="33"/>
      <c r="E16" s="33"/>
      <c r="F16" s="33"/>
      <c r="G16" s="33"/>
      <c r="H16" s="33"/>
    </row>
    <row r="17" spans="2:8">
      <c r="B17" s="12" t="s">
        <v>43</v>
      </c>
      <c r="C17" s="33" t="s">
        <v>44</v>
      </c>
      <c r="D17" s="33"/>
      <c r="E17" s="33"/>
      <c r="F17" s="33"/>
      <c r="G17" s="33"/>
      <c r="H17" s="33"/>
    </row>
    <row r="18" spans="2:8">
      <c r="B18" s="12" t="s">
        <v>45</v>
      </c>
      <c r="C18" s="33" t="s">
        <v>57</v>
      </c>
      <c r="D18" s="33"/>
      <c r="E18" s="33"/>
      <c r="F18" s="33"/>
      <c r="G18" s="33"/>
      <c r="H18" s="33"/>
    </row>
    <row r="19" spans="2:8">
      <c r="B19" s="12" t="s">
        <v>46</v>
      </c>
      <c r="C19" s="33" t="s">
        <v>47</v>
      </c>
      <c r="D19" s="33"/>
      <c r="E19" s="33"/>
      <c r="F19" s="33"/>
      <c r="G19" s="33"/>
      <c r="H19" s="33"/>
    </row>
    <row r="20" spans="2:8">
      <c r="B20" s="11"/>
      <c r="C20" s="10"/>
    </row>
  </sheetData>
  <mergeCells count="7">
    <mergeCell ref="C19:H19"/>
    <mergeCell ref="C15:H15"/>
    <mergeCell ref="A1:T2"/>
    <mergeCell ref="A12:T13"/>
    <mergeCell ref="C16:H16"/>
    <mergeCell ref="C17:H17"/>
    <mergeCell ref="C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CD2E-5AAD-4931-8D88-BB68FF108AC8}">
  <dimension ref="A1:T73"/>
  <sheetViews>
    <sheetView workbookViewId="0">
      <selection sqref="A1:I2"/>
    </sheetView>
  </sheetViews>
  <sheetFormatPr defaultRowHeight="15"/>
  <cols>
    <col min="1" max="1" width="19.7109375" customWidth="1"/>
    <col min="2" max="2" width="20.42578125" customWidth="1"/>
    <col min="3" max="3" width="18.7109375" customWidth="1"/>
    <col min="4" max="4" width="23.7109375" customWidth="1"/>
    <col min="5" max="5" width="21.7109375" customWidth="1"/>
    <col min="6" max="6" width="19.7109375" customWidth="1"/>
    <col min="7" max="7" width="21.85546875" customWidth="1"/>
    <col min="8" max="8" width="20.28515625" customWidth="1"/>
    <col min="9" max="9" width="17.7109375" customWidth="1"/>
    <col min="10" max="10" width="17.42578125" customWidth="1"/>
    <col min="11" max="11" width="16.7109375" customWidth="1"/>
    <col min="12" max="12" width="17.140625" customWidth="1"/>
    <col min="13" max="13" width="24" customWidth="1"/>
  </cols>
  <sheetData>
    <row r="1" spans="1:20" ht="15" customHeight="1">
      <c r="A1" s="32" t="s">
        <v>48</v>
      </c>
      <c r="B1" s="32"/>
      <c r="C1" s="32"/>
      <c r="D1" s="32"/>
      <c r="E1" s="32"/>
      <c r="F1" s="32"/>
      <c r="G1" s="32"/>
      <c r="H1" s="32"/>
      <c r="I1" s="3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15" customHeight="1">
      <c r="A2" s="32"/>
      <c r="B2" s="32"/>
      <c r="C2" s="32"/>
      <c r="D2" s="32"/>
      <c r="E2" s="32"/>
      <c r="F2" s="32"/>
      <c r="G2" s="32"/>
      <c r="H2" s="32"/>
      <c r="I2" s="3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4" spans="1:20" ht="18">
      <c r="A4" s="7" t="s">
        <v>58</v>
      </c>
    </row>
    <row r="6" spans="1:20" ht="18">
      <c r="A6" s="7" t="s">
        <v>49</v>
      </c>
    </row>
    <row r="8" spans="1:20">
      <c r="A8" s="12" t="s">
        <v>50</v>
      </c>
      <c r="B8" s="30" t="s">
        <v>51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20">
      <c r="A9" s="12" t="s">
        <v>52</v>
      </c>
      <c r="B9" s="33" t="s">
        <v>257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1:20">
      <c r="A10" s="12" t="s">
        <v>53</v>
      </c>
      <c r="B10" s="43" t="s">
        <v>258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5"/>
    </row>
    <row r="11" spans="1:20">
      <c r="A11" s="16" t="s">
        <v>54</v>
      </c>
      <c r="B11" s="33" t="s">
        <v>268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20">
      <c r="A12" s="16" t="s">
        <v>55</v>
      </c>
      <c r="B12" s="34" t="s">
        <v>259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5"/>
    </row>
    <row r="13" spans="1:20">
      <c r="A13" s="14"/>
      <c r="B13" s="36" t="s">
        <v>56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</row>
    <row r="14" spans="1:20">
      <c r="A14" s="15"/>
      <c r="B14" s="28" t="s">
        <v>260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9"/>
    </row>
    <row r="15" spans="1:20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</row>
    <row r="16" spans="1:20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</row>
    <row r="19" spans="1:8">
      <c r="A19" s="13" t="s">
        <v>59</v>
      </c>
    </row>
    <row r="21" spans="1:8">
      <c r="B21" s="5" t="s">
        <v>60</v>
      </c>
      <c r="C21" s="6" t="s">
        <v>61</v>
      </c>
      <c r="D21" s="5" t="s">
        <v>62</v>
      </c>
      <c r="E21" s="5" t="s">
        <v>63</v>
      </c>
      <c r="G21" s="5" t="s">
        <v>60</v>
      </c>
      <c r="H21" s="5" t="s">
        <v>62</v>
      </c>
    </row>
    <row r="22" spans="1:8">
      <c r="B22" s="17" t="s">
        <v>64</v>
      </c>
      <c r="C22" s="17" t="s">
        <v>65</v>
      </c>
      <c r="D22" s="17" t="s">
        <v>66</v>
      </c>
      <c r="E22" s="17">
        <v>35000</v>
      </c>
    </row>
    <row r="23" spans="1:8">
      <c r="B23" s="17" t="s">
        <v>67</v>
      </c>
      <c r="C23" s="17" t="s">
        <v>68</v>
      </c>
      <c r="D23" s="17" t="s">
        <v>69</v>
      </c>
      <c r="E23" s="17">
        <v>42000</v>
      </c>
    </row>
    <row r="24" spans="1:8">
      <c r="B24" s="17" t="s">
        <v>70</v>
      </c>
      <c r="C24" s="17" t="s">
        <v>71</v>
      </c>
      <c r="D24" s="17" t="s">
        <v>72</v>
      </c>
      <c r="E24" s="17">
        <v>39000</v>
      </c>
    </row>
    <row r="25" spans="1:8">
      <c r="B25" s="17" t="s">
        <v>73</v>
      </c>
      <c r="C25" s="17" t="s">
        <v>74</v>
      </c>
      <c r="D25" s="17" t="s">
        <v>75</v>
      </c>
      <c r="E25" s="17">
        <v>45000</v>
      </c>
    </row>
    <row r="28" spans="1:8">
      <c r="A28" s="13" t="s">
        <v>76</v>
      </c>
    </row>
    <row r="30" spans="1:8">
      <c r="B30" s="5" t="s">
        <v>77</v>
      </c>
      <c r="C30" s="6" t="s">
        <v>78</v>
      </c>
      <c r="D30" s="5" t="s">
        <v>80</v>
      </c>
      <c r="E30" s="5" t="s">
        <v>79</v>
      </c>
      <c r="G30" s="46" t="s">
        <v>77</v>
      </c>
      <c r="H30" s="46" t="s">
        <v>79</v>
      </c>
    </row>
    <row r="31" spans="1:8">
      <c r="B31" s="18" t="s">
        <v>81</v>
      </c>
      <c r="C31" s="18" t="s">
        <v>82</v>
      </c>
      <c r="D31" s="18" t="s">
        <v>83</v>
      </c>
      <c r="E31" s="18">
        <v>55000</v>
      </c>
    </row>
    <row r="32" spans="1:8">
      <c r="B32" s="18" t="s">
        <v>84</v>
      </c>
      <c r="C32" s="18" t="s">
        <v>85</v>
      </c>
      <c r="D32" s="18" t="s">
        <v>83</v>
      </c>
      <c r="E32" s="18">
        <v>800</v>
      </c>
    </row>
    <row r="33" spans="1:9">
      <c r="B33" s="18" t="s">
        <v>86</v>
      </c>
      <c r="C33" s="18" t="s">
        <v>87</v>
      </c>
      <c r="D33" s="18" t="s">
        <v>88</v>
      </c>
      <c r="E33" s="18">
        <v>2500</v>
      </c>
    </row>
    <row r="34" spans="1:9">
      <c r="B34" s="18" t="s">
        <v>89</v>
      </c>
      <c r="C34" s="18" t="s">
        <v>90</v>
      </c>
      <c r="D34" s="18" t="s">
        <v>91</v>
      </c>
      <c r="E34" s="18">
        <v>350</v>
      </c>
    </row>
    <row r="35" spans="1:9">
      <c r="B35" s="19"/>
      <c r="C35" s="19"/>
      <c r="D35" s="19"/>
      <c r="E35" s="19"/>
    </row>
    <row r="36" spans="1:9">
      <c r="A36" s="13" t="s">
        <v>269</v>
      </c>
    </row>
    <row r="38" spans="1:9">
      <c r="B38" s="31" t="s">
        <v>264</v>
      </c>
      <c r="C38" s="31"/>
      <c r="F38" s="54"/>
      <c r="G38" s="31" t="s">
        <v>263</v>
      </c>
      <c r="H38" s="31"/>
      <c r="I38" s="54"/>
    </row>
    <row r="40" spans="1:9">
      <c r="B40" s="5" t="s">
        <v>77</v>
      </c>
      <c r="C40" s="6" t="s">
        <v>78</v>
      </c>
      <c r="D40" s="5" t="s">
        <v>79</v>
      </c>
      <c r="G40" s="5" t="s">
        <v>77</v>
      </c>
      <c r="H40" s="6" t="s">
        <v>92</v>
      </c>
      <c r="I40" s="6" t="s">
        <v>79</v>
      </c>
    </row>
    <row r="41" spans="1:9">
      <c r="B41" s="50" t="s">
        <v>81</v>
      </c>
      <c r="C41" s="50" t="s">
        <v>82</v>
      </c>
      <c r="D41" s="50">
        <v>55000</v>
      </c>
      <c r="G41" s="50" t="s">
        <v>84</v>
      </c>
      <c r="H41" s="50">
        <v>3</v>
      </c>
      <c r="I41" s="50"/>
    </row>
    <row r="42" spans="1:9">
      <c r="B42" s="50" t="s">
        <v>84</v>
      </c>
      <c r="C42" s="50" t="s">
        <v>85</v>
      </c>
      <c r="D42" s="50">
        <v>700</v>
      </c>
      <c r="G42" s="50" t="s">
        <v>89</v>
      </c>
      <c r="H42" s="50">
        <v>2</v>
      </c>
      <c r="I42" s="50"/>
    </row>
    <row r="43" spans="1:9">
      <c r="B43" s="50" t="s">
        <v>86</v>
      </c>
      <c r="C43" s="50" t="s">
        <v>261</v>
      </c>
      <c r="D43" s="50">
        <v>1200</v>
      </c>
      <c r="G43" s="50" t="s">
        <v>81</v>
      </c>
      <c r="H43" s="50">
        <v>1</v>
      </c>
      <c r="I43" s="50"/>
    </row>
    <row r="44" spans="1:9">
      <c r="B44" s="50" t="s">
        <v>89</v>
      </c>
      <c r="C44" s="50" t="s">
        <v>262</v>
      </c>
      <c r="D44" s="50">
        <v>15000</v>
      </c>
    </row>
    <row r="46" spans="1:9">
      <c r="A46" t="s">
        <v>270</v>
      </c>
    </row>
    <row r="48" spans="1:9">
      <c r="B48" s="5" t="s">
        <v>12</v>
      </c>
      <c r="C48" s="6" t="s">
        <v>13</v>
      </c>
      <c r="D48" s="5" t="s">
        <v>14</v>
      </c>
      <c r="E48" s="5" t="s">
        <v>15</v>
      </c>
      <c r="G48" s="46" t="s">
        <v>14</v>
      </c>
      <c r="H48" s="46" t="s">
        <v>15</v>
      </c>
    </row>
    <row r="49" spans="1:8">
      <c r="B49" s="20">
        <v>1</v>
      </c>
      <c r="C49" s="20" t="s">
        <v>16</v>
      </c>
      <c r="D49" s="20">
        <v>44</v>
      </c>
      <c r="E49" s="20"/>
      <c r="G49" s="51">
        <v>0</v>
      </c>
      <c r="H49" s="51" t="s">
        <v>265</v>
      </c>
    </row>
    <row r="50" spans="1:8">
      <c r="B50" s="20">
        <v>2</v>
      </c>
      <c r="C50" s="20" t="s">
        <v>17</v>
      </c>
      <c r="D50" s="20">
        <v>65</v>
      </c>
      <c r="E50" s="20"/>
      <c r="G50" s="51">
        <v>35</v>
      </c>
      <c r="H50" s="51" t="s">
        <v>18</v>
      </c>
    </row>
    <row r="51" spans="1:8">
      <c r="B51" s="20">
        <v>3</v>
      </c>
      <c r="C51" s="20" t="s">
        <v>18</v>
      </c>
      <c r="D51" s="20">
        <v>25</v>
      </c>
      <c r="E51" s="20"/>
      <c r="G51" s="51">
        <v>45</v>
      </c>
      <c r="H51" s="51" t="s">
        <v>17</v>
      </c>
    </row>
    <row r="52" spans="1:8">
      <c r="B52" s="20">
        <v>4</v>
      </c>
      <c r="C52" s="20" t="s">
        <v>19</v>
      </c>
      <c r="D52" s="20">
        <v>35</v>
      </c>
      <c r="E52" s="20"/>
      <c r="G52" s="51">
        <v>60</v>
      </c>
      <c r="H52" s="51" t="s">
        <v>16</v>
      </c>
    </row>
    <row r="53" spans="1:8">
      <c r="B53" s="20">
        <v>5</v>
      </c>
      <c r="C53" s="20" t="s">
        <v>20</v>
      </c>
      <c r="D53" s="20">
        <v>78</v>
      </c>
      <c r="E53" s="20"/>
      <c r="G53" s="51">
        <v>75</v>
      </c>
      <c r="H53" s="51" t="s">
        <v>24</v>
      </c>
    </row>
    <row r="54" spans="1:8">
      <c r="B54" s="20">
        <v>6</v>
      </c>
      <c r="C54" s="20" t="s">
        <v>21</v>
      </c>
      <c r="D54" s="20">
        <v>65</v>
      </c>
      <c r="E54" s="20"/>
    </row>
    <row r="55" spans="1:8">
      <c r="B55" s="20">
        <v>7</v>
      </c>
      <c r="C55" s="20" t="s">
        <v>22</v>
      </c>
      <c r="D55" s="20">
        <v>98</v>
      </c>
      <c r="E55" s="20"/>
    </row>
    <row r="56" spans="1:8">
      <c r="B56" s="20">
        <v>8</v>
      </c>
      <c r="C56" s="20" t="s">
        <v>23</v>
      </c>
      <c r="D56" s="20">
        <v>65</v>
      </c>
      <c r="E56" s="20"/>
    </row>
    <row r="58" spans="1:8">
      <c r="A58" t="s">
        <v>271</v>
      </c>
    </row>
    <row r="60" spans="1:8">
      <c r="B60" s="5" t="s">
        <v>251</v>
      </c>
      <c r="C60" s="6" t="s">
        <v>252</v>
      </c>
      <c r="E60" s="5" t="s">
        <v>266</v>
      </c>
      <c r="F60" s="6" t="s">
        <v>267</v>
      </c>
    </row>
    <row r="61" spans="1:8">
      <c r="B61" s="27">
        <v>12</v>
      </c>
      <c r="C61" s="27"/>
      <c r="E61" s="50">
        <v>0</v>
      </c>
      <c r="F61" s="50" t="s">
        <v>253</v>
      </c>
    </row>
    <row r="62" spans="1:8">
      <c r="B62" s="27">
        <v>13</v>
      </c>
      <c r="C62" s="27"/>
      <c r="E62" s="50">
        <v>13</v>
      </c>
      <c r="F62" s="50" t="s">
        <v>254</v>
      </c>
    </row>
    <row r="63" spans="1:8">
      <c r="B63" s="27">
        <v>43</v>
      </c>
      <c r="C63" s="27"/>
      <c r="E63" s="50">
        <v>26</v>
      </c>
      <c r="F63" s="50" t="s">
        <v>255</v>
      </c>
    </row>
    <row r="64" spans="1:8">
      <c r="B64" s="27">
        <v>32</v>
      </c>
      <c r="C64" s="27"/>
      <c r="E64" s="50">
        <v>41</v>
      </c>
      <c r="F64" s="50" t="s">
        <v>256</v>
      </c>
    </row>
    <row r="65" spans="2:3">
      <c r="B65" s="27">
        <v>22</v>
      </c>
      <c r="C65" s="27"/>
    </row>
    <row r="66" spans="2:3">
      <c r="B66" s="27">
        <v>22</v>
      </c>
      <c r="C66" s="27"/>
    </row>
    <row r="67" spans="2:3">
      <c r="B67" s="27">
        <v>45</v>
      </c>
      <c r="C67" s="27"/>
    </row>
    <row r="68" spans="2:3">
      <c r="B68" s="27">
        <v>34</v>
      </c>
      <c r="C68" s="27"/>
    </row>
    <row r="69" spans="2:3">
      <c r="B69" s="27">
        <v>22</v>
      </c>
      <c r="C69" s="27"/>
    </row>
    <row r="70" spans="2:3">
      <c r="B70" s="27">
        <v>22</v>
      </c>
      <c r="C70" s="27"/>
    </row>
    <row r="71" spans="2:3">
      <c r="B71" s="27">
        <v>55</v>
      </c>
      <c r="C71" s="27"/>
    </row>
    <row r="72" spans="2:3">
      <c r="B72" s="27">
        <v>44</v>
      </c>
      <c r="C72" s="27"/>
    </row>
    <row r="73" spans="2:3">
      <c r="B73" s="27">
        <v>32</v>
      </c>
      <c r="C73" s="27"/>
    </row>
  </sheetData>
  <mergeCells count="10">
    <mergeCell ref="B14:M14"/>
    <mergeCell ref="B8:M8"/>
    <mergeCell ref="B38:C38"/>
    <mergeCell ref="B9:M9"/>
    <mergeCell ref="B10:M10"/>
    <mergeCell ref="B11:M11"/>
    <mergeCell ref="B12:M12"/>
    <mergeCell ref="B13:M13"/>
    <mergeCell ref="A1:I2"/>
    <mergeCell ref="G38:H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B08C-9A53-49DD-B58C-3983DB4BE913}">
  <dimension ref="A1:T90"/>
  <sheetViews>
    <sheetView topLeftCell="A70" workbookViewId="0">
      <selection activeCell="A79" sqref="A79"/>
    </sheetView>
  </sheetViews>
  <sheetFormatPr defaultRowHeight="15"/>
  <cols>
    <col min="1" max="1" width="15.140625" customWidth="1"/>
    <col min="2" max="2" width="37.7109375" customWidth="1"/>
    <col min="3" max="3" width="36" customWidth="1"/>
    <col min="4" max="4" width="13.85546875" customWidth="1"/>
    <col min="5" max="5" width="17.5703125" customWidth="1"/>
    <col min="6" max="6" width="16.140625" customWidth="1"/>
    <col min="7" max="7" width="25.140625" customWidth="1"/>
    <col min="8" max="8" width="18.28515625" customWidth="1"/>
    <col min="9" max="9" width="19.7109375" customWidth="1"/>
    <col min="10" max="10" width="13.85546875" customWidth="1"/>
    <col min="11" max="11" width="14.85546875" customWidth="1"/>
    <col min="12" max="12" width="16.42578125" customWidth="1"/>
    <col min="13" max="13" width="14.7109375" customWidth="1"/>
  </cols>
  <sheetData>
    <row r="1" spans="1:20">
      <c r="A1" s="32" t="s">
        <v>93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4" spans="1:20" ht="18">
      <c r="A4" s="7" t="s">
        <v>94</v>
      </c>
    </row>
    <row r="6" spans="1:20" ht="18">
      <c r="A6" s="7" t="s">
        <v>95</v>
      </c>
    </row>
    <row r="8" spans="1:20">
      <c r="A8" s="12" t="s">
        <v>50</v>
      </c>
      <c r="B8" s="33" t="s">
        <v>51</v>
      </c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20">
      <c r="A9" s="22" t="s">
        <v>52</v>
      </c>
      <c r="B9" s="33" t="s">
        <v>96</v>
      </c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20">
      <c r="A10" s="22" t="s">
        <v>53</v>
      </c>
      <c r="B10" s="33" t="s">
        <v>97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20">
      <c r="A11" s="22" t="s">
        <v>98</v>
      </c>
      <c r="B11" s="33" t="s">
        <v>99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20">
      <c r="A12" s="21" t="s">
        <v>55</v>
      </c>
      <c r="B12" s="40" t="s">
        <v>100</v>
      </c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20">
      <c r="A13" s="14"/>
      <c r="B13" s="41" t="s">
        <v>101</v>
      </c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20">
      <c r="A14" s="15"/>
      <c r="B14" s="39" t="s">
        <v>102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8" spans="1:7" ht="18">
      <c r="A18" s="7" t="s">
        <v>272</v>
      </c>
    </row>
    <row r="20" spans="1:7">
      <c r="B20" s="55" t="s">
        <v>60</v>
      </c>
      <c r="C20" s="48" t="s">
        <v>64</v>
      </c>
      <c r="D20" s="48" t="s">
        <v>67</v>
      </c>
      <c r="E20" s="48" t="s">
        <v>70</v>
      </c>
      <c r="F20" s="48" t="s">
        <v>73</v>
      </c>
      <c r="G20" s="48" t="s">
        <v>273</v>
      </c>
    </row>
    <row r="21" spans="1:7">
      <c r="B21" s="55" t="s">
        <v>61</v>
      </c>
      <c r="C21" s="50" t="s">
        <v>65</v>
      </c>
      <c r="D21" s="50" t="s">
        <v>68</v>
      </c>
      <c r="E21" s="50" t="s">
        <v>71</v>
      </c>
      <c r="F21" s="50" t="s">
        <v>74</v>
      </c>
      <c r="G21" s="50" t="s">
        <v>274</v>
      </c>
    </row>
    <row r="22" spans="1:7">
      <c r="B22" s="55" t="s">
        <v>62</v>
      </c>
      <c r="C22" s="50" t="s">
        <v>66</v>
      </c>
      <c r="D22" s="50" t="s">
        <v>69</v>
      </c>
      <c r="E22" s="50" t="s">
        <v>72</v>
      </c>
      <c r="F22" s="50" t="s">
        <v>75</v>
      </c>
      <c r="G22" s="50" t="s">
        <v>214</v>
      </c>
    </row>
    <row r="23" spans="1:7">
      <c r="B23" s="55" t="s">
        <v>63</v>
      </c>
      <c r="C23" s="50">
        <v>35000</v>
      </c>
      <c r="D23" s="50">
        <v>42000</v>
      </c>
      <c r="E23" s="50">
        <v>39000</v>
      </c>
      <c r="F23" s="50">
        <v>45000</v>
      </c>
      <c r="G23" s="50">
        <v>38000</v>
      </c>
    </row>
    <row r="24" spans="1:7">
      <c r="B24" s="55" t="s">
        <v>281</v>
      </c>
      <c r="C24" s="50">
        <v>2</v>
      </c>
      <c r="D24" s="50">
        <v>4</v>
      </c>
      <c r="E24" s="50">
        <v>3</v>
      </c>
      <c r="F24" s="50">
        <v>5</v>
      </c>
      <c r="G24" s="50">
        <v>2</v>
      </c>
    </row>
    <row r="25" spans="1:7">
      <c r="B25" s="55" t="s">
        <v>275</v>
      </c>
      <c r="C25" s="50" t="s">
        <v>276</v>
      </c>
      <c r="D25" s="50" t="s">
        <v>277</v>
      </c>
      <c r="E25" s="50" t="s">
        <v>278</v>
      </c>
      <c r="F25" s="50" t="s">
        <v>279</v>
      </c>
      <c r="G25" s="50" t="s">
        <v>280</v>
      </c>
    </row>
    <row r="28" spans="1:7">
      <c r="B28" s="48" t="s">
        <v>60</v>
      </c>
      <c r="C28" s="48" t="s">
        <v>62</v>
      </c>
      <c r="D28" s="9"/>
      <c r="E28" s="9"/>
    </row>
    <row r="29" spans="1:7">
      <c r="B29" s="50" t="s">
        <v>70</v>
      </c>
      <c r="C29" s="50"/>
      <c r="D29" s="47"/>
      <c r="E29" s="47"/>
    </row>
    <row r="32" spans="1:7">
      <c r="A32" s="13" t="s">
        <v>282</v>
      </c>
    </row>
    <row r="34" spans="1:13">
      <c r="B34" s="55" t="s">
        <v>0</v>
      </c>
      <c r="C34" s="48" t="s">
        <v>283</v>
      </c>
      <c r="D34" s="48" t="s">
        <v>284</v>
      </c>
      <c r="E34" s="48" t="s">
        <v>285</v>
      </c>
      <c r="F34" s="48" t="s">
        <v>286</v>
      </c>
      <c r="G34" s="48" t="s">
        <v>287</v>
      </c>
    </row>
    <row r="35" spans="1:13">
      <c r="B35" s="55" t="s">
        <v>288</v>
      </c>
      <c r="C35" s="50" t="s">
        <v>65</v>
      </c>
      <c r="D35" s="50" t="s">
        <v>68</v>
      </c>
      <c r="E35" s="50" t="s">
        <v>71</v>
      </c>
      <c r="F35" s="50" t="s">
        <v>74</v>
      </c>
      <c r="G35" s="50" t="s">
        <v>289</v>
      </c>
    </row>
    <row r="36" spans="1:13">
      <c r="B36" s="55" t="s">
        <v>290</v>
      </c>
      <c r="C36" s="50" t="s">
        <v>9</v>
      </c>
      <c r="D36" s="50" t="s">
        <v>291</v>
      </c>
      <c r="E36" s="50" t="s">
        <v>63</v>
      </c>
      <c r="F36" s="50" t="s">
        <v>9</v>
      </c>
      <c r="G36" s="50" t="s">
        <v>291</v>
      </c>
    </row>
    <row r="37" spans="1:13">
      <c r="B37" s="55" t="s">
        <v>292</v>
      </c>
      <c r="C37" s="50">
        <v>25000</v>
      </c>
      <c r="D37" s="50">
        <v>85000</v>
      </c>
      <c r="E37" s="50">
        <v>45000</v>
      </c>
      <c r="F37" s="50">
        <v>62000</v>
      </c>
      <c r="G37" s="50">
        <v>91000</v>
      </c>
    </row>
    <row r="38" spans="1:13">
      <c r="B38" s="55" t="s">
        <v>1</v>
      </c>
      <c r="C38" s="50" t="s">
        <v>276</v>
      </c>
      <c r="D38" s="50" t="s">
        <v>278</v>
      </c>
      <c r="E38" s="50" t="s">
        <v>277</v>
      </c>
      <c r="F38" s="50" t="s">
        <v>280</v>
      </c>
      <c r="G38" s="50" t="s">
        <v>293</v>
      </c>
    </row>
    <row r="40" spans="1:13">
      <c r="B40" s="48" t="s">
        <v>0</v>
      </c>
      <c r="C40" s="48" t="s">
        <v>1</v>
      </c>
    </row>
    <row r="41" spans="1:13">
      <c r="B41" s="50" t="s">
        <v>287</v>
      </c>
      <c r="C41" s="50"/>
    </row>
    <row r="43" spans="1:13">
      <c r="A43" t="s">
        <v>270</v>
      </c>
    </row>
    <row r="45" spans="1:13">
      <c r="B45" s="5" t="s">
        <v>12</v>
      </c>
      <c r="C45" s="6" t="s">
        <v>294</v>
      </c>
      <c r="D45" s="5" t="s">
        <v>14</v>
      </c>
      <c r="E45" s="5" t="s">
        <v>15</v>
      </c>
    </row>
    <row r="46" spans="1:13">
      <c r="B46" s="20">
        <v>1</v>
      </c>
      <c r="C46" s="20" t="s">
        <v>16</v>
      </c>
      <c r="D46" s="20">
        <v>44</v>
      </c>
      <c r="E46" s="20"/>
      <c r="H46" s="46" t="s">
        <v>14</v>
      </c>
      <c r="I46" s="51">
        <v>0</v>
      </c>
      <c r="J46" s="51">
        <v>35</v>
      </c>
      <c r="K46" s="51">
        <v>45</v>
      </c>
      <c r="L46" s="51">
        <v>60</v>
      </c>
      <c r="M46" s="51">
        <v>75</v>
      </c>
    </row>
    <row r="47" spans="1:13">
      <c r="B47" s="20">
        <v>2</v>
      </c>
      <c r="C47" s="20" t="s">
        <v>17</v>
      </c>
      <c r="D47" s="20">
        <v>65</v>
      </c>
      <c r="E47" s="20"/>
      <c r="H47" s="46" t="s">
        <v>15</v>
      </c>
      <c r="I47" s="51" t="s">
        <v>265</v>
      </c>
      <c r="J47" s="51" t="s">
        <v>18</v>
      </c>
      <c r="K47" s="51" t="s">
        <v>17</v>
      </c>
      <c r="L47" s="51" t="s">
        <v>16</v>
      </c>
      <c r="M47" s="51" t="s">
        <v>24</v>
      </c>
    </row>
    <row r="48" spans="1:13">
      <c r="B48" s="20">
        <v>3</v>
      </c>
      <c r="C48" s="20" t="s">
        <v>18</v>
      </c>
      <c r="D48" s="20">
        <v>25</v>
      </c>
      <c r="E48" s="20"/>
    </row>
    <row r="49" spans="2:13">
      <c r="B49" s="20">
        <v>4</v>
      </c>
      <c r="C49" s="20" t="s">
        <v>19</v>
      </c>
      <c r="D49" s="20">
        <v>35</v>
      </c>
      <c r="E49" s="20"/>
    </row>
    <row r="50" spans="2:13">
      <c r="B50" s="20">
        <v>5</v>
      </c>
      <c r="C50" s="20" t="s">
        <v>20</v>
      </c>
      <c r="D50" s="20">
        <v>78</v>
      </c>
      <c r="E50" s="20"/>
    </row>
    <row r="51" spans="2:13">
      <c r="B51" s="20">
        <v>6</v>
      </c>
      <c r="C51" s="20" t="s">
        <v>21</v>
      </c>
      <c r="D51" s="20">
        <v>65</v>
      </c>
      <c r="E51" s="20"/>
    </row>
    <row r="52" spans="2:13">
      <c r="B52" s="20">
        <v>7</v>
      </c>
      <c r="C52" s="20" t="s">
        <v>22</v>
      </c>
      <c r="D52" s="20">
        <v>98</v>
      </c>
      <c r="E52" s="20"/>
    </row>
    <row r="53" spans="2:13">
      <c r="B53" s="20">
        <v>8</v>
      </c>
      <c r="C53" s="20" t="s">
        <v>23</v>
      </c>
      <c r="D53" s="20">
        <v>65</v>
      </c>
      <c r="E53" s="20"/>
    </row>
    <row r="58" spans="2:13">
      <c r="C58" t="s">
        <v>319</v>
      </c>
    </row>
    <row r="59" spans="2:13">
      <c r="B59" s="9"/>
      <c r="C59" s="9"/>
    </row>
    <row r="60" spans="2:13">
      <c r="B60" s="5" t="s">
        <v>125</v>
      </c>
      <c r="C60" s="6" t="s">
        <v>126</v>
      </c>
      <c r="D60" s="5" t="s">
        <v>295</v>
      </c>
      <c r="E60" s="5" t="s">
        <v>296</v>
      </c>
      <c r="F60" s="5" t="s">
        <v>297</v>
      </c>
      <c r="G60" s="6" t="s">
        <v>320</v>
      </c>
    </row>
    <row r="61" spans="2:13">
      <c r="B61" s="56" t="s">
        <v>298</v>
      </c>
      <c r="C61" s="56" t="s">
        <v>141</v>
      </c>
      <c r="D61" s="56">
        <v>19</v>
      </c>
      <c r="E61" s="56">
        <v>10</v>
      </c>
      <c r="F61" s="56" t="s">
        <v>299</v>
      </c>
      <c r="G61" s="57"/>
      <c r="I61" s="46" t="s">
        <v>297</v>
      </c>
      <c r="J61" s="56" t="s">
        <v>299</v>
      </c>
      <c r="K61" s="56" t="s">
        <v>302</v>
      </c>
      <c r="L61" s="56" t="s">
        <v>305</v>
      </c>
      <c r="M61" s="56" t="s">
        <v>307</v>
      </c>
    </row>
    <row r="62" spans="2:13">
      <c r="B62" s="56" t="s">
        <v>300</v>
      </c>
      <c r="C62" s="56" t="s">
        <v>301</v>
      </c>
      <c r="D62" s="56">
        <v>20</v>
      </c>
      <c r="E62" s="56">
        <v>10</v>
      </c>
      <c r="F62" s="56" t="s">
        <v>302</v>
      </c>
      <c r="G62" s="57"/>
      <c r="I62" s="6" t="s">
        <v>320</v>
      </c>
      <c r="J62" s="59">
        <v>45576</v>
      </c>
      <c r="K62" s="59">
        <v>45577</v>
      </c>
      <c r="L62" s="59">
        <v>45578</v>
      </c>
      <c r="M62" s="59">
        <v>45579</v>
      </c>
    </row>
    <row r="63" spans="2:13">
      <c r="B63" s="56" t="s">
        <v>303</v>
      </c>
      <c r="C63" s="56" t="s">
        <v>304</v>
      </c>
      <c r="D63" s="56">
        <v>20</v>
      </c>
      <c r="E63" s="56">
        <v>10</v>
      </c>
      <c r="F63" s="56" t="s">
        <v>305</v>
      </c>
      <c r="G63" s="57"/>
    </row>
    <row r="64" spans="2:13">
      <c r="B64" s="56" t="s">
        <v>306</v>
      </c>
      <c r="C64" s="58" t="s">
        <v>304</v>
      </c>
      <c r="D64" s="56">
        <v>18</v>
      </c>
      <c r="E64" s="56">
        <v>10</v>
      </c>
      <c r="F64" s="56" t="s">
        <v>307</v>
      </c>
      <c r="G64" s="57"/>
    </row>
    <row r="65" spans="1:9">
      <c r="B65" s="56" t="s">
        <v>308</v>
      </c>
      <c r="C65" s="56" t="s">
        <v>309</v>
      </c>
      <c r="D65" s="56">
        <v>17</v>
      </c>
      <c r="E65" s="56">
        <v>10</v>
      </c>
      <c r="F65" s="56" t="s">
        <v>299</v>
      </c>
      <c r="G65" s="57"/>
    </row>
    <row r="66" spans="1:9">
      <c r="B66" s="56" t="s">
        <v>310</v>
      </c>
      <c r="C66" s="56" t="s">
        <v>301</v>
      </c>
      <c r="D66" s="56">
        <v>19</v>
      </c>
      <c r="E66" s="56">
        <v>10</v>
      </c>
      <c r="F66" s="56" t="s">
        <v>302</v>
      </c>
      <c r="G66" s="57"/>
    </row>
    <row r="67" spans="1:9">
      <c r="B67" s="56" t="s">
        <v>311</v>
      </c>
      <c r="C67" s="56" t="s">
        <v>301</v>
      </c>
      <c r="D67" s="56">
        <v>20</v>
      </c>
      <c r="E67" s="56">
        <v>10</v>
      </c>
      <c r="F67" s="56" t="s">
        <v>305</v>
      </c>
      <c r="G67" s="57"/>
    </row>
    <row r="68" spans="1:9">
      <c r="B68" s="56" t="s">
        <v>312</v>
      </c>
      <c r="C68" s="56" t="s">
        <v>301</v>
      </c>
      <c r="D68" s="56">
        <v>21</v>
      </c>
      <c r="E68" s="56">
        <v>10</v>
      </c>
      <c r="F68" s="56" t="s">
        <v>307</v>
      </c>
      <c r="G68" s="57"/>
    </row>
    <row r="69" spans="1:9">
      <c r="B69" s="56" t="s">
        <v>313</v>
      </c>
      <c r="C69" s="56" t="s">
        <v>304</v>
      </c>
      <c r="D69" s="56">
        <v>22</v>
      </c>
      <c r="E69" s="56">
        <v>10</v>
      </c>
      <c r="F69" s="56" t="s">
        <v>299</v>
      </c>
      <c r="G69" s="57"/>
    </row>
    <row r="70" spans="1:9">
      <c r="B70" s="56" t="s">
        <v>314</v>
      </c>
      <c r="C70" s="56" t="s">
        <v>301</v>
      </c>
      <c r="D70" s="56">
        <v>18</v>
      </c>
      <c r="E70" s="56">
        <v>10</v>
      </c>
      <c r="F70" s="56" t="s">
        <v>302</v>
      </c>
      <c r="G70" s="57"/>
    </row>
    <row r="71" spans="1:9">
      <c r="B71" s="56" t="s">
        <v>315</v>
      </c>
      <c r="C71" s="56" t="s">
        <v>301</v>
      </c>
      <c r="D71" s="56">
        <v>21</v>
      </c>
      <c r="E71" s="56">
        <v>10</v>
      </c>
      <c r="F71" s="56" t="s">
        <v>305</v>
      </c>
      <c r="G71" s="57"/>
    </row>
    <row r="72" spans="1:9">
      <c r="B72" s="56" t="s">
        <v>316</v>
      </c>
      <c r="C72" s="56" t="s">
        <v>301</v>
      </c>
      <c r="D72" s="56">
        <v>20</v>
      </c>
      <c r="E72" s="56">
        <v>10</v>
      </c>
      <c r="F72" s="56" t="s">
        <v>307</v>
      </c>
      <c r="G72" s="57"/>
    </row>
    <row r="73" spans="1:9">
      <c r="B73" s="56" t="s">
        <v>317</v>
      </c>
      <c r="C73" s="56" t="s">
        <v>304</v>
      </c>
      <c r="D73" s="56">
        <v>22</v>
      </c>
      <c r="E73" s="56">
        <v>10</v>
      </c>
      <c r="F73" s="56" t="s">
        <v>299</v>
      </c>
      <c r="G73" s="57"/>
    </row>
    <row r="74" spans="1:9">
      <c r="B74" s="56" t="s">
        <v>318</v>
      </c>
      <c r="C74" s="56" t="s">
        <v>301</v>
      </c>
      <c r="D74" s="56">
        <v>23</v>
      </c>
      <c r="E74" s="56">
        <v>10</v>
      </c>
      <c r="F74" s="56" t="s">
        <v>299</v>
      </c>
      <c r="G74" s="57"/>
    </row>
    <row r="77" spans="1:9">
      <c r="A77" s="32" t="s">
        <v>364</v>
      </c>
      <c r="B77" s="32"/>
      <c r="C77" s="32"/>
      <c r="D77" s="32"/>
      <c r="E77" s="32"/>
      <c r="F77" s="32"/>
      <c r="G77" s="32"/>
      <c r="H77" s="32"/>
      <c r="I77" s="32"/>
    </row>
    <row r="78" spans="1:9">
      <c r="A78" s="32"/>
      <c r="B78" s="32"/>
      <c r="C78" s="32"/>
      <c r="D78" s="32"/>
      <c r="E78" s="32"/>
      <c r="F78" s="32"/>
      <c r="G78" s="32"/>
      <c r="H78" s="32"/>
      <c r="I78" s="32"/>
    </row>
    <row r="80" spans="1:9">
      <c r="B80" s="9"/>
      <c r="C80" s="9"/>
    </row>
    <row r="81" spans="2:3">
      <c r="B81" s="10"/>
      <c r="C81" s="10"/>
    </row>
    <row r="82" spans="2:3">
      <c r="B82" s="10"/>
      <c r="C82" s="10"/>
    </row>
    <row r="83" spans="2:3">
      <c r="B83" s="10"/>
      <c r="C83" s="10"/>
    </row>
    <row r="84" spans="2:3">
      <c r="B84" s="10"/>
      <c r="C84" s="10"/>
    </row>
    <row r="86" spans="2:3">
      <c r="B86" s="48" t="s">
        <v>41</v>
      </c>
      <c r="C86" s="48" t="s">
        <v>43</v>
      </c>
    </row>
    <row r="87" spans="2:3">
      <c r="B87" s="60" t="s">
        <v>103</v>
      </c>
      <c r="C87" s="60" t="s">
        <v>104</v>
      </c>
    </row>
    <row r="88" spans="2:3">
      <c r="B88" s="49" t="s">
        <v>105</v>
      </c>
      <c r="C88" s="49" t="s">
        <v>106</v>
      </c>
    </row>
    <row r="89" spans="2:3">
      <c r="B89" s="49" t="s">
        <v>107</v>
      </c>
      <c r="C89" s="49" t="s">
        <v>108</v>
      </c>
    </row>
    <row r="90" spans="2:3">
      <c r="B90" s="49" t="s">
        <v>109</v>
      </c>
      <c r="C90" s="49" t="s">
        <v>110</v>
      </c>
    </row>
  </sheetData>
  <mergeCells count="9">
    <mergeCell ref="A77:I78"/>
    <mergeCell ref="B14:L14"/>
    <mergeCell ref="B8:L8"/>
    <mergeCell ref="A1:T2"/>
    <mergeCell ref="B12:L12"/>
    <mergeCell ref="B9:L9"/>
    <mergeCell ref="B10:L10"/>
    <mergeCell ref="B11:L11"/>
    <mergeCell ref="B13:L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939B-9FE1-4CB1-A41D-3B0A78D33A22}">
  <dimension ref="A1:I57"/>
  <sheetViews>
    <sheetView tabSelected="1" topLeftCell="A26" workbookViewId="0">
      <selection activeCell="D54" sqref="D54"/>
    </sheetView>
  </sheetViews>
  <sheetFormatPr defaultRowHeight="15"/>
  <cols>
    <col min="1" max="1" width="30.140625" customWidth="1"/>
    <col min="2" max="2" width="41.5703125" customWidth="1"/>
    <col min="3" max="3" width="15.42578125" customWidth="1"/>
    <col min="4" max="4" width="13.7109375" customWidth="1"/>
    <col min="5" max="6" width="17.140625" customWidth="1"/>
  </cols>
  <sheetData>
    <row r="1" spans="1:9">
      <c r="A1" s="32" t="s">
        <v>45</v>
      </c>
      <c r="B1" s="32"/>
      <c r="C1" s="32"/>
      <c r="D1" s="32"/>
      <c r="E1" s="32"/>
      <c r="F1" s="32"/>
      <c r="G1" s="32"/>
      <c r="H1" s="32"/>
      <c r="I1" s="32"/>
    </row>
    <row r="2" spans="1:9">
      <c r="A2" s="32"/>
      <c r="B2" s="32"/>
      <c r="C2" s="32"/>
      <c r="D2" s="32"/>
      <c r="E2" s="32"/>
      <c r="F2" s="32"/>
      <c r="G2" s="32"/>
      <c r="H2" s="32"/>
      <c r="I2" s="32"/>
    </row>
    <row r="4" spans="1:9">
      <c r="A4" t="s">
        <v>341</v>
      </c>
    </row>
    <row r="5" spans="1:9">
      <c r="A5" t="s">
        <v>342</v>
      </c>
    </row>
    <row r="7" spans="1:9">
      <c r="A7" t="s">
        <v>343</v>
      </c>
    </row>
    <row r="9" spans="1:9">
      <c r="A9" s="13" t="s">
        <v>50</v>
      </c>
      <c r="B9" s="13" t="s">
        <v>51</v>
      </c>
    </row>
    <row r="10" spans="1:9">
      <c r="A10" t="s">
        <v>52</v>
      </c>
      <c r="B10" t="s">
        <v>344</v>
      </c>
    </row>
    <row r="11" spans="1:9">
      <c r="A11" t="s">
        <v>345</v>
      </c>
      <c r="B11" t="s">
        <v>346</v>
      </c>
    </row>
    <row r="12" spans="1:9">
      <c r="A12" t="s">
        <v>347</v>
      </c>
      <c r="B12" t="s">
        <v>348</v>
      </c>
    </row>
    <row r="13" spans="1:9">
      <c r="A13" s="13" t="s">
        <v>349</v>
      </c>
      <c r="B13" t="s">
        <v>350</v>
      </c>
    </row>
    <row r="14" spans="1:9" ht="15.75">
      <c r="A14" s="13" t="s">
        <v>351</v>
      </c>
      <c r="B14" t="s">
        <v>352</v>
      </c>
    </row>
    <row r="15" spans="1:9" ht="15.75">
      <c r="A15" s="13" t="s">
        <v>353</v>
      </c>
      <c r="B15" t="s">
        <v>354</v>
      </c>
    </row>
    <row r="18" spans="1:6" ht="31.5">
      <c r="A18" s="70" t="s">
        <v>355</v>
      </c>
    </row>
    <row r="19" spans="1:6">
      <c r="A19" s="8" t="s">
        <v>356</v>
      </c>
    </row>
    <row r="20" spans="1:6">
      <c r="A20" s="8" t="s">
        <v>357</v>
      </c>
    </row>
    <row r="21" spans="1:6">
      <c r="A21" s="8" t="s">
        <v>358</v>
      </c>
    </row>
    <row r="22" spans="1:6">
      <c r="A22" s="8" t="s">
        <v>359</v>
      </c>
    </row>
    <row r="23" spans="1:6">
      <c r="A23" s="8" t="s">
        <v>360</v>
      </c>
    </row>
    <row r="26" spans="1:6">
      <c r="A26" t="s">
        <v>361</v>
      </c>
    </row>
    <row r="28" spans="1:6">
      <c r="B28" s="48" t="s">
        <v>0</v>
      </c>
      <c r="C28" s="48" t="s">
        <v>362</v>
      </c>
      <c r="D28" s="48" t="s">
        <v>290</v>
      </c>
      <c r="E28" s="48" t="s">
        <v>1</v>
      </c>
      <c r="F28" s="48" t="s">
        <v>2</v>
      </c>
    </row>
    <row r="29" spans="1:6">
      <c r="B29" s="50">
        <v>5600001</v>
      </c>
      <c r="C29" s="50">
        <v>5000</v>
      </c>
      <c r="D29" s="50" t="s">
        <v>3</v>
      </c>
      <c r="E29" s="50" t="s">
        <v>4</v>
      </c>
      <c r="F29" s="50" t="s">
        <v>5</v>
      </c>
    </row>
    <row r="30" spans="1:6">
      <c r="B30" s="50">
        <v>5600002</v>
      </c>
      <c r="C30" s="50">
        <v>14571</v>
      </c>
      <c r="D30" s="50" t="s">
        <v>6</v>
      </c>
      <c r="E30" s="50" t="s">
        <v>4</v>
      </c>
      <c r="F30" s="50" t="s">
        <v>7</v>
      </c>
    </row>
    <row r="31" spans="1:6">
      <c r="B31" s="50">
        <v>5600003</v>
      </c>
      <c r="C31" s="50">
        <v>500</v>
      </c>
      <c r="D31" s="50" t="s">
        <v>8</v>
      </c>
      <c r="E31" s="50" t="s">
        <v>4</v>
      </c>
      <c r="F31" s="50" t="s">
        <v>5</v>
      </c>
    </row>
    <row r="32" spans="1:6">
      <c r="B32" s="50">
        <v>5600004</v>
      </c>
      <c r="C32" s="50">
        <v>15000</v>
      </c>
      <c r="D32" s="50" t="s">
        <v>6</v>
      </c>
      <c r="E32" s="50" t="s">
        <v>4</v>
      </c>
      <c r="F32" s="50" t="s">
        <v>5</v>
      </c>
    </row>
    <row r="33" spans="2:6">
      <c r="B33" s="50">
        <v>5600005</v>
      </c>
      <c r="C33" s="50">
        <v>4623</v>
      </c>
      <c r="D33" s="50" t="s">
        <v>9</v>
      </c>
      <c r="E33" s="50" t="s">
        <v>10</v>
      </c>
      <c r="F33" s="50" t="s">
        <v>5</v>
      </c>
    </row>
    <row r="34" spans="2:6">
      <c r="B34" s="50">
        <v>5600006</v>
      </c>
      <c r="C34" s="50">
        <v>8721</v>
      </c>
      <c r="D34" s="50" t="s">
        <v>9</v>
      </c>
      <c r="E34" s="50" t="s">
        <v>11</v>
      </c>
      <c r="F34" s="50" t="s">
        <v>7</v>
      </c>
    </row>
    <row r="35" spans="2:6">
      <c r="B35" s="50">
        <v>5600007</v>
      </c>
      <c r="C35" s="50">
        <v>15276</v>
      </c>
      <c r="D35" s="50" t="s">
        <v>9</v>
      </c>
      <c r="E35" s="50" t="s">
        <v>10</v>
      </c>
      <c r="F35" s="50" t="s">
        <v>5</v>
      </c>
    </row>
    <row r="38" spans="2:6">
      <c r="B38" s="48" t="s">
        <v>0</v>
      </c>
      <c r="C38" s="48" t="s">
        <v>362</v>
      </c>
      <c r="D38" s="48" t="s">
        <v>290</v>
      </c>
      <c r="E38" s="48" t="s">
        <v>1</v>
      </c>
      <c r="F38" s="48" t="s">
        <v>2</v>
      </c>
    </row>
    <row r="39" spans="2:6">
      <c r="B39" s="50">
        <v>5600007</v>
      </c>
      <c r="C39" s="2" cm="1">
        <f t="array" ref="C39:F39">_xlfn.XLOOKUP(B39,B29:B35,C29:F35)</f>
        <v>15276</v>
      </c>
      <c r="D39" s="2" t="str">
        <v>Savings</v>
      </c>
      <c r="E39" s="2" t="str">
        <v>North County</v>
      </c>
      <c r="F39" s="2" t="str">
        <v>Existing</v>
      </c>
    </row>
    <row r="41" spans="2:6">
      <c r="B41" s="48" t="s">
        <v>0</v>
      </c>
      <c r="C41" s="48" t="s">
        <v>362</v>
      </c>
      <c r="D41" s="48" t="s">
        <v>290</v>
      </c>
      <c r="E41" s="48" t="s">
        <v>1</v>
      </c>
      <c r="F41" s="48" t="s">
        <v>2</v>
      </c>
    </row>
    <row r="42" spans="2:6">
      <c r="B42" s="50">
        <v>5600007</v>
      </c>
    </row>
    <row r="49" spans="1:9">
      <c r="A49" s="32" t="s">
        <v>363</v>
      </c>
      <c r="B49" s="32"/>
      <c r="C49" s="32"/>
      <c r="D49" s="32"/>
      <c r="E49" s="32"/>
      <c r="F49" s="32"/>
      <c r="G49" s="32"/>
      <c r="H49" s="32"/>
      <c r="I49" s="32"/>
    </row>
    <row r="50" spans="1:9">
      <c r="A50" s="32"/>
      <c r="B50" s="32"/>
      <c r="C50" s="32"/>
      <c r="D50" s="32"/>
      <c r="E50" s="32"/>
      <c r="F50" s="32"/>
      <c r="G50" s="32"/>
      <c r="H50" s="32"/>
      <c r="I50" s="32"/>
    </row>
    <row r="53" spans="1:9">
      <c r="B53" s="71" t="s">
        <v>41</v>
      </c>
      <c r="C53" s="71"/>
    </row>
    <row r="54" spans="1:9">
      <c r="B54" s="71" t="s">
        <v>365</v>
      </c>
      <c r="C54" s="71"/>
    </row>
    <row r="55" spans="1:9">
      <c r="B55" s="71" t="s">
        <v>366</v>
      </c>
      <c r="C55" s="71"/>
    </row>
    <row r="56" spans="1:9" ht="15.75">
      <c r="B56" s="71" t="s">
        <v>367</v>
      </c>
      <c r="C56" s="71"/>
    </row>
    <row r="57" spans="1:9">
      <c r="B57" s="10"/>
      <c r="C57" s="10"/>
    </row>
  </sheetData>
  <mergeCells count="6">
    <mergeCell ref="A1:I2"/>
    <mergeCell ref="A49:I50"/>
    <mergeCell ref="B56:C56"/>
    <mergeCell ref="B55:C55"/>
    <mergeCell ref="B54:C54"/>
    <mergeCell ref="B53:C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580D-E542-447C-8A71-30AA2E341666}">
  <dimension ref="A1:T35"/>
  <sheetViews>
    <sheetView topLeftCell="A3" workbookViewId="0">
      <selection activeCell="E18" sqref="E18"/>
    </sheetView>
  </sheetViews>
  <sheetFormatPr defaultColWidth="20.7109375" defaultRowHeight="15"/>
  <cols>
    <col min="1" max="1" width="20.7109375" style="62"/>
    <col min="2" max="2" width="21.140625" style="62" customWidth="1"/>
    <col min="3" max="16384" width="20.7109375" style="62"/>
  </cols>
  <sheetData>
    <row r="1" spans="1:20" ht="15" customHeight="1">
      <c r="A1" s="61" t="s">
        <v>321</v>
      </c>
      <c r="B1" s="61"/>
      <c r="C1" s="61"/>
      <c r="D1" s="61"/>
      <c r="E1" s="61"/>
      <c r="F1" s="61"/>
      <c r="G1" s="61"/>
      <c r="H1" s="61"/>
      <c r="I1" s="61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0" ht="15" customHeight="1">
      <c r="A2" s="61"/>
      <c r="B2" s="61"/>
      <c r="C2" s="61"/>
      <c r="D2" s="61"/>
      <c r="E2" s="61"/>
      <c r="F2" s="61"/>
      <c r="G2" s="61"/>
      <c r="H2" s="61"/>
      <c r="I2" s="61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20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24">
      <c r="A4" s="65" t="s">
        <v>334</v>
      </c>
      <c r="B4"/>
      <c r="C4"/>
      <c r="D4"/>
      <c r="E4"/>
      <c r="F4"/>
      <c r="G4"/>
      <c r="H4"/>
      <c r="I4" s="63"/>
      <c r="J4" s="63"/>
      <c r="K4" s="63"/>
      <c r="L4" s="63"/>
      <c r="M4" s="63"/>
      <c r="N4" s="63"/>
      <c r="O4" s="63"/>
      <c r="P4" s="63"/>
    </row>
    <row r="5" spans="1:20">
      <c r="A5"/>
      <c r="B5"/>
      <c r="C5"/>
      <c r="D5"/>
      <c r="E5"/>
      <c r="F5"/>
      <c r="G5"/>
      <c r="H5"/>
      <c r="I5" s="63"/>
      <c r="J5" s="63"/>
      <c r="K5" s="63"/>
      <c r="L5" s="63"/>
      <c r="M5" s="63"/>
      <c r="N5" s="63"/>
      <c r="O5" s="63"/>
      <c r="P5" s="63"/>
    </row>
    <row r="6" spans="1:20" ht="15" customHeight="1">
      <c r="A6" s="13" t="s">
        <v>335</v>
      </c>
      <c r="B6"/>
      <c r="C6"/>
      <c r="D6"/>
      <c r="E6"/>
      <c r="F6"/>
      <c r="G6"/>
      <c r="H6"/>
      <c r="I6" s="63"/>
      <c r="J6" s="63"/>
      <c r="K6" s="63"/>
      <c r="L6" s="63"/>
      <c r="M6" s="63"/>
      <c r="N6" s="63"/>
      <c r="O6" s="63"/>
      <c r="P6" s="63"/>
    </row>
    <row r="7" spans="1:20" ht="15" customHeight="1">
      <c r="A7" s="13" t="s">
        <v>336</v>
      </c>
      <c r="B7"/>
      <c r="C7"/>
      <c r="D7"/>
      <c r="E7"/>
      <c r="F7"/>
      <c r="G7"/>
      <c r="H7"/>
      <c r="I7" s="63"/>
      <c r="J7" s="63"/>
      <c r="K7" s="63"/>
      <c r="L7" s="63"/>
      <c r="M7" s="63"/>
      <c r="N7" s="63"/>
      <c r="O7" s="63"/>
      <c r="P7" s="63"/>
    </row>
    <row r="8" spans="1:20">
      <c r="A8"/>
      <c r="B8"/>
      <c r="C8"/>
      <c r="D8"/>
      <c r="E8"/>
      <c r="F8"/>
      <c r="G8"/>
      <c r="H8"/>
      <c r="I8" s="63"/>
      <c r="J8" s="63"/>
      <c r="K8" s="63"/>
      <c r="L8" s="63"/>
      <c r="M8" s="63"/>
      <c r="N8" s="63"/>
      <c r="O8" s="63"/>
      <c r="P8" s="63"/>
    </row>
    <row r="9" spans="1:20">
      <c r="A9" t="s">
        <v>337</v>
      </c>
      <c r="B9"/>
      <c r="C9"/>
      <c r="D9"/>
      <c r="E9"/>
      <c r="F9"/>
      <c r="G9"/>
      <c r="H9"/>
      <c r="I9" s="63"/>
      <c r="J9" s="63"/>
      <c r="K9" s="63"/>
      <c r="L9" s="63"/>
      <c r="M9" s="63"/>
      <c r="N9" s="63"/>
      <c r="O9" s="63"/>
      <c r="P9" s="63"/>
    </row>
    <row r="10" spans="1:20">
      <c r="A10"/>
      <c r="B10"/>
      <c r="C10"/>
      <c r="D10"/>
      <c r="E10"/>
      <c r="F10"/>
      <c r="G10"/>
      <c r="H10"/>
      <c r="I10" s="63"/>
      <c r="J10" s="63"/>
      <c r="K10" s="63"/>
      <c r="L10" s="63"/>
      <c r="M10" s="63"/>
      <c r="N10" s="63"/>
      <c r="O10" s="63"/>
      <c r="P10" s="63"/>
    </row>
    <row r="11" spans="1:20">
      <c r="A11"/>
      <c r="B11"/>
      <c r="C11"/>
      <c r="D11"/>
      <c r="E11"/>
      <c r="F11"/>
      <c r="G11"/>
      <c r="H11"/>
      <c r="I11" s="63"/>
      <c r="J11" s="63"/>
      <c r="K11" s="63"/>
      <c r="L11" s="63"/>
      <c r="M11" s="63"/>
      <c r="N11" s="63"/>
      <c r="O11" s="63"/>
      <c r="P11" s="63"/>
    </row>
    <row r="12" spans="1:20">
      <c r="A12"/>
      <c r="B12" s="48" t="s">
        <v>322</v>
      </c>
      <c r="C12" s="48" t="s">
        <v>125</v>
      </c>
      <c r="D12" s="48" t="s">
        <v>323</v>
      </c>
      <c r="E12" s="48" t="s">
        <v>324</v>
      </c>
      <c r="F12"/>
      <c r="G12"/>
      <c r="H12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</row>
    <row r="13" spans="1:20">
      <c r="A13"/>
      <c r="B13" s="50">
        <v>101</v>
      </c>
      <c r="C13" s="50" t="s">
        <v>325</v>
      </c>
      <c r="D13" s="50" t="s">
        <v>326</v>
      </c>
      <c r="E13" s="50">
        <v>5000</v>
      </c>
      <c r="F13"/>
      <c r="G13"/>
      <c r="H1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</row>
    <row r="14" spans="1:20">
      <c r="A14"/>
      <c r="B14" s="50">
        <v>102</v>
      </c>
      <c r="C14" s="50" t="s">
        <v>327</v>
      </c>
      <c r="D14" s="50" t="s">
        <v>328</v>
      </c>
      <c r="E14" s="50">
        <v>7000</v>
      </c>
      <c r="F14"/>
      <c r="G14"/>
      <c r="H14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</row>
    <row r="15" spans="1:20">
      <c r="A15"/>
      <c r="B15" s="50">
        <v>103</v>
      </c>
      <c r="C15" s="50" t="s">
        <v>65</v>
      </c>
      <c r="D15" s="50" t="s">
        <v>329</v>
      </c>
      <c r="E15" s="50">
        <v>6000</v>
      </c>
      <c r="F15"/>
      <c r="G15"/>
      <c r="H15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</row>
    <row r="16" spans="1:20">
      <c r="A16"/>
      <c r="B16" s="50">
        <v>104</v>
      </c>
      <c r="C16" s="50" t="s">
        <v>330</v>
      </c>
      <c r="D16" s="50" t="s">
        <v>331</v>
      </c>
      <c r="E16" s="50">
        <v>10000</v>
      </c>
      <c r="F16"/>
      <c r="G16"/>
      <c r="H16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</row>
    <row r="17" spans="1:20">
      <c r="A17"/>
      <c r="B17" s="50">
        <v>105</v>
      </c>
      <c r="C17" s="50" t="s">
        <v>332</v>
      </c>
      <c r="D17" s="50" t="s">
        <v>333</v>
      </c>
      <c r="E17" s="50">
        <v>5500</v>
      </c>
      <c r="F17"/>
      <c r="G17"/>
      <c r="H17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</row>
    <row r="18" spans="1:20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</row>
    <row r="19" spans="1:20" ht="18" customHeight="1">
      <c r="A19" s="13" t="s">
        <v>338</v>
      </c>
      <c r="B19"/>
      <c r="C19"/>
      <c r="D19" s="2">
        <f>INDEX(B12:E17,5,4)</f>
        <v>10000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 s="2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13" t="s">
        <v>339</v>
      </c>
      <c r="B21" s="63"/>
      <c r="C21" s="63"/>
      <c r="D21" s="63">
        <f>MATCH(C14,C13:C17,0)</f>
        <v>2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</row>
    <row r="22" spans="1:20" ht="14.25" customHeight="1">
      <c r="A22" s="66"/>
      <c r="B22"/>
      <c r="C22"/>
      <c r="D22" s="2"/>
      <c r="E22"/>
      <c r="F22"/>
      <c r="G22"/>
      <c r="H22"/>
      <c r="I22"/>
      <c r="J22"/>
      <c r="K22"/>
      <c r="L22"/>
      <c r="M22" s="63"/>
      <c r="N22" s="63"/>
      <c r="O22" s="63"/>
      <c r="P22" s="63"/>
      <c r="Q22" s="63"/>
      <c r="R22" s="63"/>
      <c r="S22" s="63"/>
      <c r="T22" s="63"/>
    </row>
    <row r="23" spans="1:20">
      <c r="A23" s="13" t="s">
        <v>340</v>
      </c>
      <c r="B23"/>
      <c r="C23"/>
      <c r="D23" s="2">
        <f>INDEX(B13:E17,MATCH(C16,C13:C17,0),4)</f>
        <v>10000</v>
      </c>
      <c r="E23"/>
      <c r="F23"/>
      <c r="G23"/>
      <c r="H23"/>
      <c r="I23"/>
      <c r="J23"/>
      <c r="K23"/>
      <c r="L23"/>
      <c r="M23" s="63"/>
      <c r="N23" s="63"/>
      <c r="O23" s="63"/>
      <c r="P23" s="63"/>
      <c r="Q23" s="63"/>
      <c r="R23" s="63"/>
      <c r="S23" s="63"/>
      <c r="T23" s="63"/>
    </row>
    <row r="24" spans="1:20">
      <c r="A24"/>
      <c r="B24"/>
      <c r="C24"/>
      <c r="D24"/>
      <c r="E24"/>
      <c r="F24"/>
      <c r="G24"/>
      <c r="H24"/>
      <c r="I24"/>
      <c r="J24"/>
      <c r="K24"/>
      <c r="L24"/>
      <c r="M24" s="63"/>
      <c r="N24" s="63"/>
      <c r="O24" s="63"/>
      <c r="P24" s="63"/>
      <c r="Q24" s="63"/>
      <c r="R24" s="63"/>
      <c r="S24" s="63"/>
      <c r="T24" s="63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63"/>
      <c r="N25" s="63"/>
      <c r="O25" s="63"/>
      <c r="P25" s="63"/>
      <c r="Q25" s="63"/>
      <c r="R25" s="63"/>
      <c r="S25" s="63"/>
      <c r="T25" s="63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63"/>
      <c r="N26" s="63"/>
      <c r="O26" s="63"/>
      <c r="P26" s="63"/>
      <c r="Q26" s="63"/>
      <c r="R26" s="63"/>
      <c r="S26" s="63"/>
      <c r="T26" s="63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63"/>
      <c r="N27" s="63"/>
      <c r="O27" s="63"/>
      <c r="P27" s="63"/>
      <c r="Q27" s="63"/>
      <c r="R27" s="63"/>
      <c r="S27" s="63"/>
      <c r="T27" s="63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63"/>
      <c r="N28" s="63"/>
      <c r="O28" s="63"/>
      <c r="P28" s="63"/>
      <c r="Q28" s="63"/>
      <c r="R28" s="63"/>
      <c r="S28" s="63"/>
      <c r="T28" s="63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 s="63"/>
      <c r="N29" s="63"/>
      <c r="O29" s="63"/>
      <c r="P29" s="63"/>
      <c r="Q29" s="63"/>
      <c r="R29" s="63"/>
      <c r="S29" s="63"/>
      <c r="T29" s="63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 s="63"/>
      <c r="N30" s="63"/>
      <c r="O30" s="63"/>
      <c r="P30" s="63"/>
      <c r="Q30" s="63"/>
      <c r="R30" s="63"/>
      <c r="S30" s="63"/>
      <c r="T30" s="63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 s="63"/>
      <c r="N31" s="63"/>
      <c r="O31" s="63"/>
      <c r="P31" s="63"/>
      <c r="Q31" s="63"/>
      <c r="R31" s="63"/>
      <c r="S31" s="63"/>
      <c r="T31" s="63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 s="63"/>
      <c r="N32" s="63"/>
      <c r="O32" s="63"/>
      <c r="P32" s="63"/>
      <c r="Q32" s="63"/>
      <c r="R32" s="63"/>
      <c r="S32" s="63"/>
      <c r="T32" s="63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 s="63"/>
      <c r="N33" s="63"/>
      <c r="O33" s="63"/>
      <c r="P33" s="63"/>
      <c r="Q33" s="63"/>
      <c r="R33" s="63"/>
      <c r="S33" s="63"/>
      <c r="T33" s="63"/>
    </row>
    <row r="34" spans="1:20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</row>
    <row r="35" spans="1:20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</row>
  </sheetData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4E56-B261-4B5C-BDD5-87C51B5395DA}">
  <dimension ref="B3:G13"/>
  <sheetViews>
    <sheetView workbookViewId="0">
      <selection activeCell="F25" sqref="F25"/>
    </sheetView>
  </sheetViews>
  <sheetFormatPr defaultRowHeight="15"/>
  <cols>
    <col min="2" max="2" width="20" customWidth="1"/>
    <col min="3" max="3" width="19.85546875" customWidth="1"/>
    <col min="4" max="4" width="59" customWidth="1"/>
    <col min="6" max="6" width="17.85546875" customWidth="1"/>
    <col min="7" max="7" width="13.7109375" customWidth="1"/>
    <col min="8" max="8" width="19.140625" customWidth="1"/>
    <col min="11" max="11" width="18.7109375" customWidth="1"/>
    <col min="12" max="12" width="15" customWidth="1"/>
  </cols>
  <sheetData>
    <row r="3" spans="2:7">
      <c r="B3" s="5" t="s">
        <v>12</v>
      </c>
      <c r="C3" s="6" t="s">
        <v>25</v>
      </c>
      <c r="D3" s="5" t="s">
        <v>26</v>
      </c>
      <c r="F3" s="5" t="s">
        <v>25</v>
      </c>
      <c r="G3" s="6" t="s">
        <v>26</v>
      </c>
    </row>
    <row r="4" spans="2:7">
      <c r="B4" s="3">
        <v>1</v>
      </c>
      <c r="C4" s="1" t="s">
        <v>27</v>
      </c>
      <c r="D4" s="4"/>
      <c r="F4" s="3" t="s">
        <v>27</v>
      </c>
      <c r="G4" s="1">
        <v>25</v>
      </c>
    </row>
    <row r="5" spans="2:7">
      <c r="B5" s="3">
        <v>2</v>
      </c>
      <c r="C5" s="1" t="s">
        <v>27</v>
      </c>
      <c r="D5" s="4"/>
      <c r="F5" s="3" t="s">
        <v>30</v>
      </c>
      <c r="G5" s="1">
        <v>27</v>
      </c>
    </row>
    <row r="6" spans="2:7">
      <c r="B6" s="3">
        <v>3</v>
      </c>
      <c r="C6" s="1" t="s">
        <v>28</v>
      </c>
      <c r="D6" s="4"/>
      <c r="F6" s="3" t="s">
        <v>28</v>
      </c>
      <c r="G6" s="1">
        <v>28</v>
      </c>
    </row>
    <row r="7" spans="2:7">
      <c r="B7" s="3">
        <v>4</v>
      </c>
      <c r="C7" s="1" t="s">
        <v>29</v>
      </c>
      <c r="D7" s="4"/>
      <c r="F7" s="3" t="s">
        <v>29</v>
      </c>
      <c r="G7" s="1">
        <v>98</v>
      </c>
    </row>
    <row r="8" spans="2:7">
      <c r="B8" s="3">
        <v>5</v>
      </c>
      <c r="C8" s="1" t="s">
        <v>28</v>
      </c>
      <c r="D8" s="4"/>
    </row>
    <row r="9" spans="2:7">
      <c r="B9" s="3">
        <v>6</v>
      </c>
      <c r="C9" s="1" t="s">
        <v>29</v>
      </c>
      <c r="D9" s="4"/>
    </row>
    <row r="10" spans="2:7">
      <c r="B10" s="3">
        <v>7</v>
      </c>
      <c r="C10" s="1" t="s">
        <v>30</v>
      </c>
      <c r="D10" s="4"/>
    </row>
    <row r="11" spans="2:7">
      <c r="B11" s="3">
        <v>8</v>
      </c>
      <c r="C11" s="1" t="s">
        <v>29</v>
      </c>
      <c r="D11" s="4"/>
    </row>
    <row r="12" spans="2:7">
      <c r="B12" s="3">
        <v>9</v>
      </c>
      <c r="C12" s="1" t="s">
        <v>28</v>
      </c>
      <c r="D12" s="4"/>
    </row>
    <row r="13" spans="2:7">
      <c r="B13" s="3">
        <v>10</v>
      </c>
      <c r="C13" s="1" t="s">
        <v>27</v>
      </c>
      <c r="D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0F10-76F2-4F72-81BA-97990BDC61DA}">
  <dimension ref="B4:K29"/>
  <sheetViews>
    <sheetView topLeftCell="A14" workbookViewId="0">
      <selection activeCell="G29" sqref="G29"/>
    </sheetView>
  </sheetViews>
  <sheetFormatPr defaultColWidth="15.28515625" defaultRowHeight="15"/>
  <cols>
    <col min="2" max="2" width="21" customWidth="1"/>
    <col min="4" max="4" width="22.7109375" customWidth="1"/>
    <col min="5" max="5" width="23.5703125" customWidth="1"/>
  </cols>
  <sheetData>
    <row r="4" spans="2:11" ht="18.75">
      <c r="B4" s="23" t="s">
        <v>111</v>
      </c>
      <c r="C4" s="23">
        <v>2018</v>
      </c>
      <c r="D4" s="23">
        <v>2019</v>
      </c>
      <c r="E4" s="23">
        <v>2020</v>
      </c>
      <c r="F4" s="23">
        <v>2021</v>
      </c>
      <c r="G4" s="23">
        <v>2022</v>
      </c>
      <c r="H4" s="23">
        <v>2023</v>
      </c>
      <c r="I4" s="23">
        <v>2024</v>
      </c>
      <c r="J4" s="23">
        <v>2025</v>
      </c>
      <c r="K4" s="23" t="s">
        <v>112</v>
      </c>
    </row>
    <row r="5" spans="2:11" ht="18.75">
      <c r="B5" s="24" t="s">
        <v>16</v>
      </c>
      <c r="C5" s="25">
        <v>90155</v>
      </c>
      <c r="D5" s="25">
        <v>56194</v>
      </c>
      <c r="E5" s="25">
        <v>63775</v>
      </c>
      <c r="F5" s="25">
        <v>49041</v>
      </c>
      <c r="G5" s="25">
        <v>57898</v>
      </c>
      <c r="H5" s="25">
        <v>56516</v>
      </c>
      <c r="I5" s="25">
        <v>66638</v>
      </c>
      <c r="J5" s="25">
        <v>90338</v>
      </c>
      <c r="K5" s="25">
        <f t="shared" ref="K5:K22" si="0">SUM(C5:J5)</f>
        <v>530555</v>
      </c>
    </row>
    <row r="6" spans="2:11" ht="18.75">
      <c r="B6" s="24" t="s">
        <v>17</v>
      </c>
      <c r="C6" s="25">
        <v>41441</v>
      </c>
      <c r="D6" s="25">
        <v>47189</v>
      </c>
      <c r="E6" s="25">
        <v>66886</v>
      </c>
      <c r="F6" s="25">
        <v>43639</v>
      </c>
      <c r="G6" s="25">
        <v>58039</v>
      </c>
      <c r="H6" s="25">
        <v>47875</v>
      </c>
      <c r="I6" s="25">
        <v>94068</v>
      </c>
      <c r="J6" s="25">
        <v>72189</v>
      </c>
      <c r="K6" s="24">
        <f t="shared" si="0"/>
        <v>471326</v>
      </c>
    </row>
    <row r="7" spans="2:11" ht="18.75">
      <c r="B7" s="24" t="s">
        <v>18</v>
      </c>
      <c r="C7" s="25">
        <v>81458</v>
      </c>
      <c r="D7" s="25">
        <v>62076</v>
      </c>
      <c r="E7" s="25">
        <v>72952</v>
      </c>
      <c r="F7" s="25">
        <v>83243</v>
      </c>
      <c r="G7" s="25">
        <v>52591</v>
      </c>
      <c r="H7" s="25">
        <v>81888</v>
      </c>
      <c r="I7" s="25">
        <v>45576</v>
      </c>
      <c r="J7" s="25">
        <v>87634</v>
      </c>
      <c r="K7" s="24">
        <f t="shared" si="0"/>
        <v>567418</v>
      </c>
    </row>
    <row r="8" spans="2:11" ht="18.75">
      <c r="B8" s="24" t="s">
        <v>19</v>
      </c>
      <c r="C8" s="25">
        <v>58065</v>
      </c>
      <c r="D8" s="25">
        <v>74927</v>
      </c>
      <c r="E8" s="25">
        <v>78775</v>
      </c>
      <c r="F8" s="25">
        <v>69266</v>
      </c>
      <c r="G8" s="25">
        <v>42639</v>
      </c>
      <c r="H8" s="25">
        <v>67351</v>
      </c>
      <c r="I8" s="25">
        <v>69843</v>
      </c>
      <c r="J8" s="25">
        <v>47617</v>
      </c>
      <c r="K8" s="24">
        <f t="shared" si="0"/>
        <v>508483</v>
      </c>
    </row>
    <row r="9" spans="2:11" ht="18.75">
      <c r="B9" s="24" t="s">
        <v>20</v>
      </c>
      <c r="C9" s="25">
        <v>63875</v>
      </c>
      <c r="D9" s="25">
        <v>91960</v>
      </c>
      <c r="E9" s="25">
        <v>55582</v>
      </c>
      <c r="F9" s="25">
        <v>88625</v>
      </c>
      <c r="G9" s="25">
        <v>79766</v>
      </c>
      <c r="H9" s="25">
        <v>41385</v>
      </c>
      <c r="I9" s="25">
        <v>71109</v>
      </c>
      <c r="J9" s="25">
        <v>47990</v>
      </c>
      <c r="K9" s="24">
        <f t="shared" si="0"/>
        <v>540292</v>
      </c>
    </row>
    <row r="10" spans="2:11" ht="18.75">
      <c r="B10" s="24" t="s">
        <v>21</v>
      </c>
      <c r="C10" s="25">
        <v>80533</v>
      </c>
      <c r="D10" s="25">
        <v>68841</v>
      </c>
      <c r="E10" s="25">
        <v>44010</v>
      </c>
      <c r="F10" s="25">
        <v>63283</v>
      </c>
      <c r="G10" s="25">
        <v>56215</v>
      </c>
      <c r="H10" s="25">
        <v>42981</v>
      </c>
      <c r="I10" s="25">
        <v>74331</v>
      </c>
      <c r="J10" s="25">
        <v>41756</v>
      </c>
      <c r="K10" s="24">
        <f t="shared" si="0"/>
        <v>471950</v>
      </c>
    </row>
    <row r="11" spans="2:11" ht="18.75">
      <c r="B11" s="24" t="s">
        <v>22</v>
      </c>
      <c r="C11" s="25">
        <v>52530</v>
      </c>
      <c r="D11" s="25">
        <v>54937</v>
      </c>
      <c r="E11" s="25">
        <v>66318</v>
      </c>
      <c r="F11" s="25">
        <v>80225</v>
      </c>
      <c r="G11" s="25">
        <v>91953</v>
      </c>
      <c r="H11" s="25">
        <v>64476</v>
      </c>
      <c r="I11" s="25">
        <v>80442</v>
      </c>
      <c r="J11" s="25">
        <v>79180</v>
      </c>
      <c r="K11" s="24">
        <f t="shared" si="0"/>
        <v>570061</v>
      </c>
    </row>
    <row r="12" spans="2:11" ht="18.75">
      <c r="B12" s="24" t="s">
        <v>23</v>
      </c>
      <c r="C12" s="25">
        <v>45793</v>
      </c>
      <c r="D12" s="25">
        <v>56919</v>
      </c>
      <c r="E12" s="25">
        <v>64036</v>
      </c>
      <c r="F12" s="25">
        <v>86583</v>
      </c>
      <c r="G12" s="25">
        <v>74697</v>
      </c>
      <c r="H12" s="25">
        <v>54975</v>
      </c>
      <c r="I12" s="25">
        <v>75210</v>
      </c>
      <c r="J12" s="25">
        <v>49148</v>
      </c>
      <c r="K12" s="24">
        <f t="shared" si="0"/>
        <v>507361</v>
      </c>
    </row>
    <row r="13" spans="2:11" ht="18.75">
      <c r="B13" s="24" t="s">
        <v>113</v>
      </c>
      <c r="C13" s="25">
        <v>78210</v>
      </c>
      <c r="D13" s="25">
        <v>93583</v>
      </c>
      <c r="E13" s="25">
        <v>49483</v>
      </c>
      <c r="F13" s="25">
        <v>49968</v>
      </c>
      <c r="G13" s="25">
        <v>75456</v>
      </c>
      <c r="H13" s="25">
        <v>87570</v>
      </c>
      <c r="I13" s="25">
        <v>84367</v>
      </c>
      <c r="J13" s="25">
        <v>94635</v>
      </c>
      <c r="K13" s="24">
        <f t="shared" si="0"/>
        <v>613272</v>
      </c>
    </row>
    <row r="14" spans="2:11" ht="18.75">
      <c r="B14" s="24" t="s">
        <v>114</v>
      </c>
      <c r="C14" s="25">
        <v>84636</v>
      </c>
      <c r="D14" s="25">
        <v>62096</v>
      </c>
      <c r="E14" s="25">
        <v>81869</v>
      </c>
      <c r="F14" s="25">
        <v>43650</v>
      </c>
      <c r="G14" s="25">
        <v>65136</v>
      </c>
      <c r="H14" s="25">
        <v>93974</v>
      </c>
      <c r="I14" s="25">
        <v>57617</v>
      </c>
      <c r="J14" s="25">
        <v>41783</v>
      </c>
      <c r="K14" s="24">
        <f t="shared" si="0"/>
        <v>530761</v>
      </c>
    </row>
    <row r="15" spans="2:11" ht="18.75">
      <c r="B15" s="24" t="s">
        <v>115</v>
      </c>
      <c r="C15" s="25">
        <v>81171</v>
      </c>
      <c r="D15" s="25">
        <v>48962</v>
      </c>
      <c r="E15" s="25">
        <v>40400</v>
      </c>
      <c r="F15" s="25">
        <v>70080</v>
      </c>
      <c r="G15" s="25">
        <v>47810</v>
      </c>
      <c r="H15" s="25">
        <v>93874</v>
      </c>
      <c r="I15" s="25">
        <v>77029</v>
      </c>
      <c r="J15" s="25">
        <v>74557</v>
      </c>
      <c r="K15" s="24">
        <f t="shared" si="0"/>
        <v>533883</v>
      </c>
    </row>
    <row r="16" spans="2:11" ht="18.75">
      <c r="B16" s="24" t="s">
        <v>116</v>
      </c>
      <c r="C16" s="25">
        <v>41920</v>
      </c>
      <c r="D16" s="25">
        <v>76840</v>
      </c>
      <c r="E16" s="25">
        <v>73279</v>
      </c>
      <c r="F16" s="25">
        <v>70293</v>
      </c>
      <c r="G16" s="25">
        <v>73352</v>
      </c>
      <c r="H16" s="25">
        <v>65899</v>
      </c>
      <c r="I16" s="25">
        <v>43890</v>
      </c>
      <c r="J16" s="25">
        <v>67891</v>
      </c>
      <c r="K16" s="24">
        <f t="shared" si="0"/>
        <v>513364</v>
      </c>
    </row>
    <row r="17" spans="2:11" ht="18.75">
      <c r="B17" s="24" t="s">
        <v>117</v>
      </c>
      <c r="C17" s="25">
        <v>53896</v>
      </c>
      <c r="D17" s="25">
        <v>87286</v>
      </c>
      <c r="E17" s="25">
        <v>50296</v>
      </c>
      <c r="F17" s="25">
        <v>77391</v>
      </c>
      <c r="G17" s="25">
        <v>66577</v>
      </c>
      <c r="H17" s="25">
        <v>46039</v>
      </c>
      <c r="I17" s="25">
        <v>72543</v>
      </c>
      <c r="J17" s="25">
        <v>71353</v>
      </c>
      <c r="K17" s="24">
        <f t="shared" si="0"/>
        <v>525381</v>
      </c>
    </row>
    <row r="18" spans="2:11" ht="18.75">
      <c r="B18" s="24" t="s">
        <v>118</v>
      </c>
      <c r="C18" s="25">
        <v>56814</v>
      </c>
      <c r="D18" s="25">
        <v>44307</v>
      </c>
      <c r="E18" s="25">
        <v>50207</v>
      </c>
      <c r="F18" s="25">
        <v>47437</v>
      </c>
      <c r="G18" s="25">
        <v>48934</v>
      </c>
      <c r="H18" s="25">
        <v>72418</v>
      </c>
      <c r="I18" s="25">
        <v>73529</v>
      </c>
      <c r="J18" s="25">
        <v>56877</v>
      </c>
      <c r="K18" s="24">
        <f t="shared" si="0"/>
        <v>450523</v>
      </c>
    </row>
    <row r="19" spans="2:11" ht="18.75">
      <c r="B19" s="24" t="s">
        <v>119</v>
      </c>
      <c r="C19" s="25">
        <v>93186</v>
      </c>
      <c r="D19" s="25">
        <v>51874</v>
      </c>
      <c r="E19" s="25">
        <v>52235</v>
      </c>
      <c r="F19" s="25">
        <v>48538</v>
      </c>
      <c r="G19" s="25">
        <v>60660</v>
      </c>
      <c r="H19" s="25">
        <v>85109</v>
      </c>
      <c r="I19" s="25">
        <v>56190</v>
      </c>
      <c r="J19" s="25">
        <v>68332</v>
      </c>
      <c r="K19" s="24">
        <f t="shared" si="0"/>
        <v>516124</v>
      </c>
    </row>
    <row r="20" spans="2:11" ht="18.75">
      <c r="B20" s="24" t="s">
        <v>120</v>
      </c>
      <c r="C20" s="25">
        <v>68286</v>
      </c>
      <c r="D20" s="25">
        <v>88803</v>
      </c>
      <c r="E20" s="25">
        <v>88094</v>
      </c>
      <c r="F20" s="25">
        <v>92014</v>
      </c>
      <c r="G20" s="25">
        <v>80616</v>
      </c>
      <c r="H20" s="25">
        <v>69910</v>
      </c>
      <c r="I20" s="25">
        <v>49851</v>
      </c>
      <c r="J20" s="25">
        <v>81182</v>
      </c>
      <c r="K20" s="24">
        <f t="shared" si="0"/>
        <v>618756</v>
      </c>
    </row>
    <row r="21" spans="2:11" ht="18.75">
      <c r="B21" s="24" t="s">
        <v>121</v>
      </c>
      <c r="C21" s="25">
        <v>61280</v>
      </c>
      <c r="D21" s="25">
        <v>84888</v>
      </c>
      <c r="E21" s="25">
        <v>61304</v>
      </c>
      <c r="F21" s="25">
        <v>49741</v>
      </c>
      <c r="G21" s="25">
        <v>81719</v>
      </c>
      <c r="H21" s="25">
        <v>48499</v>
      </c>
      <c r="I21" s="25">
        <v>92744</v>
      </c>
      <c r="J21" s="25">
        <v>81635</v>
      </c>
      <c r="K21" s="24">
        <f t="shared" si="0"/>
        <v>561810</v>
      </c>
    </row>
    <row r="22" spans="2:11" ht="18.75">
      <c r="B22" s="24" t="s">
        <v>122</v>
      </c>
      <c r="C22" s="25">
        <v>84614</v>
      </c>
      <c r="D22" s="25">
        <v>60137</v>
      </c>
      <c r="E22" s="25">
        <v>80170</v>
      </c>
      <c r="F22" s="25">
        <v>87725</v>
      </c>
      <c r="G22" s="25">
        <v>79753</v>
      </c>
      <c r="H22" s="25">
        <v>60858</v>
      </c>
      <c r="I22" s="25">
        <v>76011</v>
      </c>
      <c r="J22" s="25">
        <v>83377</v>
      </c>
      <c r="K22" s="24">
        <f t="shared" si="0"/>
        <v>612645</v>
      </c>
    </row>
    <row r="25" spans="2:11" ht="18.75">
      <c r="D25" s="23" t="s">
        <v>111</v>
      </c>
      <c r="E25" s="23" t="s">
        <v>123</v>
      </c>
    </row>
    <row r="26" spans="2:11" ht="18.75">
      <c r="D26" s="24" t="s">
        <v>16</v>
      </c>
      <c r="E26" s="24" cm="1">
        <f t="array" ref="E26">SUM(VLOOKUP(D26,B5:J22,{2,3,4,5,6,7,8,9},0))</f>
        <v>530555</v>
      </c>
    </row>
    <row r="27" spans="2:11" ht="18.75">
      <c r="D27" s="24" t="s">
        <v>122</v>
      </c>
      <c r="E27" s="24" cm="1">
        <f t="array" ref="E27">SUM(VLOOKUP(D27,B6:J23,{2,3,4,5,6,7,8,9},0))</f>
        <v>612645</v>
      </c>
    </row>
    <row r="28" spans="2:11" ht="18.75">
      <c r="D28" s="24" t="s">
        <v>18</v>
      </c>
      <c r="E28" s="24" cm="1">
        <f t="array" ref="E28">SUM(VLOOKUP(D28,B7:J24,{2,3,4,5,6,7,8,9},0))</f>
        <v>567418</v>
      </c>
    </row>
    <row r="29" spans="2:11" ht="18.75">
      <c r="D29" s="24" t="s">
        <v>122</v>
      </c>
      <c r="E29" s="24" cm="1">
        <f t="array" ref="E29">SUM(VLOOKUP(D29,B8:J25,{2,3,4,5,6,7,8,9},0))</f>
        <v>612645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7261-DE0D-4FF8-B63A-612DB42FCC38}">
  <dimension ref="A1:P100"/>
  <sheetViews>
    <sheetView workbookViewId="0">
      <selection activeCell="C18" sqref="C18"/>
    </sheetView>
  </sheetViews>
  <sheetFormatPr defaultRowHeight="15"/>
  <cols>
    <col min="1" max="1" width="15.85546875" customWidth="1"/>
    <col min="2" max="2" width="19.5703125" customWidth="1"/>
    <col min="4" max="4" width="15.140625" customWidth="1"/>
    <col min="5" max="5" width="17.85546875" customWidth="1"/>
    <col min="7" max="7" width="16.7109375" customWidth="1"/>
    <col min="8" max="8" width="20" customWidth="1"/>
    <col min="9" max="9" width="17.42578125" customWidth="1"/>
    <col min="11" max="11" width="16.28515625" customWidth="1"/>
    <col min="12" max="12" width="19.42578125" customWidth="1"/>
    <col min="13" max="13" width="26.42578125" customWidth="1"/>
    <col min="14" max="14" width="28" customWidth="1"/>
    <col min="15" max="15" width="22.140625" customWidth="1"/>
    <col min="16" max="16" width="20.5703125" customWidth="1"/>
  </cols>
  <sheetData>
    <row r="1" spans="1:16">
      <c r="A1" s="67" t="s">
        <v>124</v>
      </c>
      <c r="B1" s="67" t="s">
        <v>125</v>
      </c>
      <c r="C1" s="67" t="s">
        <v>126</v>
      </c>
      <c r="D1" s="67" t="s">
        <v>127</v>
      </c>
      <c r="E1" s="67" t="s">
        <v>128</v>
      </c>
      <c r="F1" s="67" t="s">
        <v>129</v>
      </c>
      <c r="G1" s="67" t="s">
        <v>130</v>
      </c>
      <c r="H1" s="67" t="s">
        <v>131</v>
      </c>
      <c r="I1" s="67" t="s">
        <v>132</v>
      </c>
      <c r="J1" s="67" t="s">
        <v>133</v>
      </c>
      <c r="K1" s="67" t="s">
        <v>134</v>
      </c>
      <c r="L1" s="67" t="s">
        <v>135</v>
      </c>
      <c r="M1" s="67" t="s">
        <v>136</v>
      </c>
      <c r="N1" s="67" t="s">
        <v>137</v>
      </c>
      <c r="O1" s="67" t="s">
        <v>138</v>
      </c>
      <c r="P1" s="67" t="s">
        <v>139</v>
      </c>
    </row>
    <row r="2" spans="1:16">
      <c r="A2" s="68">
        <v>80</v>
      </c>
      <c r="B2" s="68" t="s">
        <v>140</v>
      </c>
      <c r="C2" s="68" t="s">
        <v>141</v>
      </c>
      <c r="D2" s="68" t="s">
        <v>142</v>
      </c>
      <c r="E2" s="68">
        <v>1</v>
      </c>
      <c r="F2" s="68">
        <v>2</v>
      </c>
      <c r="G2" s="68">
        <v>1</v>
      </c>
      <c r="H2" s="68">
        <v>2</v>
      </c>
      <c r="I2" s="68">
        <v>5021</v>
      </c>
      <c r="J2" s="68">
        <v>46</v>
      </c>
      <c r="K2" s="68" t="s">
        <v>143</v>
      </c>
      <c r="L2" s="69">
        <v>42645</v>
      </c>
      <c r="M2" s="68">
        <v>2</v>
      </c>
      <c r="N2" s="68">
        <v>2</v>
      </c>
      <c r="O2" s="68">
        <v>3</v>
      </c>
      <c r="P2" s="68" t="s">
        <v>144</v>
      </c>
    </row>
    <row r="3" spans="1:16">
      <c r="A3" s="68">
        <v>101</v>
      </c>
      <c r="B3" s="68" t="s">
        <v>145</v>
      </c>
      <c r="C3" s="68" t="s">
        <v>141</v>
      </c>
      <c r="D3" s="68" t="s">
        <v>142</v>
      </c>
      <c r="E3" s="68">
        <v>1</v>
      </c>
      <c r="F3" s="68">
        <v>1</v>
      </c>
      <c r="G3" s="68">
        <v>1</v>
      </c>
      <c r="H3" s="68">
        <v>1</v>
      </c>
      <c r="I3" s="68">
        <v>2073</v>
      </c>
      <c r="J3" s="68">
        <v>37</v>
      </c>
      <c r="K3" s="68" t="s">
        <v>143</v>
      </c>
      <c r="L3" s="69">
        <v>42645</v>
      </c>
      <c r="M3" s="68">
        <v>3</v>
      </c>
      <c r="N3" s="68">
        <v>3</v>
      </c>
      <c r="O3" s="68">
        <v>3</v>
      </c>
      <c r="P3" s="68" t="s">
        <v>144</v>
      </c>
    </row>
    <row r="4" spans="1:16">
      <c r="A4" s="68">
        <v>106</v>
      </c>
      <c r="B4" s="68" t="s">
        <v>146</v>
      </c>
      <c r="C4" s="68" t="s">
        <v>141</v>
      </c>
      <c r="D4" s="68" t="s">
        <v>147</v>
      </c>
      <c r="E4" s="68">
        <v>1</v>
      </c>
      <c r="F4" s="68">
        <v>5</v>
      </c>
      <c r="G4" s="68">
        <v>1</v>
      </c>
      <c r="H4" s="68">
        <v>4</v>
      </c>
      <c r="I4" s="68">
        <v>18844</v>
      </c>
      <c r="J4" s="68">
        <v>59</v>
      </c>
      <c r="K4" s="68" t="s">
        <v>143</v>
      </c>
      <c r="L4" s="69">
        <v>42645</v>
      </c>
      <c r="M4" s="68">
        <v>3</v>
      </c>
      <c r="N4" s="68">
        <v>3</v>
      </c>
      <c r="O4" s="68">
        <v>3</v>
      </c>
      <c r="P4" s="68" t="s">
        <v>144</v>
      </c>
    </row>
    <row r="5" spans="1:16">
      <c r="A5" s="68">
        <v>113</v>
      </c>
      <c r="B5" s="68" t="s">
        <v>148</v>
      </c>
      <c r="C5" s="68" t="s">
        <v>141</v>
      </c>
      <c r="D5" s="68" t="s">
        <v>149</v>
      </c>
      <c r="E5" s="68">
        <v>1</v>
      </c>
      <c r="F5" s="68">
        <v>4</v>
      </c>
      <c r="G5" s="68">
        <v>1</v>
      </c>
      <c r="H5" s="68">
        <v>4</v>
      </c>
      <c r="I5" s="68">
        <v>17328</v>
      </c>
      <c r="J5" s="68">
        <v>54</v>
      </c>
      <c r="K5" s="68" t="s">
        <v>143</v>
      </c>
      <c r="L5" s="69">
        <v>42645</v>
      </c>
      <c r="M5" s="68">
        <v>4</v>
      </c>
      <c r="N5" s="68">
        <v>3</v>
      </c>
      <c r="O5" s="68">
        <v>3</v>
      </c>
      <c r="P5" s="68" t="s">
        <v>144</v>
      </c>
    </row>
    <row r="6" spans="1:16">
      <c r="A6" s="68">
        <v>135</v>
      </c>
      <c r="B6" s="68" t="s">
        <v>150</v>
      </c>
      <c r="C6" s="68" t="s">
        <v>141</v>
      </c>
      <c r="D6" s="68" t="s">
        <v>147</v>
      </c>
      <c r="E6" s="68">
        <v>1</v>
      </c>
      <c r="F6" s="68">
        <v>1</v>
      </c>
      <c r="G6" s="68">
        <v>1</v>
      </c>
      <c r="H6" s="68">
        <v>3</v>
      </c>
      <c r="I6" s="68">
        <v>2942</v>
      </c>
      <c r="J6" s="68">
        <v>26</v>
      </c>
      <c r="K6" s="68" t="s">
        <v>143</v>
      </c>
      <c r="L6" s="69">
        <v>42645</v>
      </c>
      <c r="M6" s="68">
        <v>3</v>
      </c>
      <c r="N6" s="68">
        <v>3</v>
      </c>
      <c r="O6" s="68">
        <v>3</v>
      </c>
      <c r="P6" s="68" t="s">
        <v>144</v>
      </c>
    </row>
    <row r="7" spans="1:16">
      <c r="A7" s="68">
        <v>140</v>
      </c>
      <c r="B7" s="68" t="s">
        <v>151</v>
      </c>
      <c r="C7" s="68" t="s">
        <v>141</v>
      </c>
      <c r="D7" s="68" t="s">
        <v>147</v>
      </c>
      <c r="E7" s="68">
        <v>1</v>
      </c>
      <c r="F7" s="68">
        <v>2</v>
      </c>
      <c r="G7" s="68">
        <v>1</v>
      </c>
      <c r="H7" s="68">
        <v>4</v>
      </c>
      <c r="I7" s="68">
        <v>6347</v>
      </c>
      <c r="J7" s="68">
        <v>30</v>
      </c>
      <c r="K7" s="68" t="s">
        <v>143</v>
      </c>
      <c r="L7" s="69">
        <v>42585</v>
      </c>
      <c r="M7" s="68">
        <v>3</v>
      </c>
      <c r="N7" s="68">
        <v>2</v>
      </c>
      <c r="O7" s="68">
        <v>1</v>
      </c>
      <c r="P7" s="68" t="s">
        <v>144</v>
      </c>
    </row>
    <row r="8" spans="1:16">
      <c r="A8" s="68">
        <v>233</v>
      </c>
      <c r="B8" s="68" t="s">
        <v>152</v>
      </c>
      <c r="C8" s="68" t="s">
        <v>141</v>
      </c>
      <c r="D8" s="68" t="s">
        <v>147</v>
      </c>
      <c r="E8" s="68">
        <v>1</v>
      </c>
      <c r="F8" s="68">
        <v>1</v>
      </c>
      <c r="G8" s="68">
        <v>1</v>
      </c>
      <c r="H8" s="68">
        <v>3</v>
      </c>
      <c r="I8" s="68">
        <v>2267</v>
      </c>
      <c r="J8" s="68">
        <v>59</v>
      </c>
      <c r="K8" s="68" t="s">
        <v>143</v>
      </c>
      <c r="L8" s="69">
        <v>42585</v>
      </c>
      <c r="M8" s="68">
        <v>2</v>
      </c>
      <c r="N8" s="68">
        <v>2</v>
      </c>
      <c r="O8" s="68">
        <v>2</v>
      </c>
      <c r="P8" s="68" t="s">
        <v>153</v>
      </c>
    </row>
    <row r="9" spans="1:16">
      <c r="A9" s="68">
        <v>311</v>
      </c>
      <c r="B9" s="68" t="s">
        <v>154</v>
      </c>
      <c r="C9" s="68" t="s">
        <v>141</v>
      </c>
      <c r="D9" s="68" t="s">
        <v>147</v>
      </c>
      <c r="E9" s="68">
        <v>1</v>
      </c>
      <c r="F9" s="68">
        <v>2</v>
      </c>
      <c r="G9" s="68">
        <v>1</v>
      </c>
      <c r="H9" s="68">
        <v>1</v>
      </c>
      <c r="I9" s="68">
        <v>6410</v>
      </c>
      <c r="J9" s="68">
        <v>31</v>
      </c>
      <c r="K9" s="68" t="s">
        <v>143</v>
      </c>
      <c r="L9" s="69">
        <v>42552</v>
      </c>
      <c r="M9" s="68">
        <v>1</v>
      </c>
      <c r="N9" s="68">
        <v>1</v>
      </c>
      <c r="O9" s="68">
        <v>3</v>
      </c>
      <c r="P9" s="68" t="s">
        <v>153</v>
      </c>
    </row>
    <row r="10" spans="1:16">
      <c r="A10" s="68">
        <v>351</v>
      </c>
      <c r="B10" s="68" t="s">
        <v>155</v>
      </c>
      <c r="C10" s="68" t="s">
        <v>141</v>
      </c>
      <c r="D10" s="68" t="s">
        <v>142</v>
      </c>
      <c r="E10" s="68">
        <v>1</v>
      </c>
      <c r="F10" s="68">
        <v>1</v>
      </c>
      <c r="G10" s="68">
        <v>1</v>
      </c>
      <c r="H10" s="68">
        <v>3</v>
      </c>
      <c r="I10" s="68">
        <v>2696</v>
      </c>
      <c r="J10" s="68">
        <v>42</v>
      </c>
      <c r="K10" s="68" t="s">
        <v>143</v>
      </c>
      <c r="L10" s="69">
        <v>42552</v>
      </c>
      <c r="M10" s="68">
        <v>3</v>
      </c>
      <c r="N10" s="68">
        <v>5</v>
      </c>
      <c r="O10" s="68">
        <v>3</v>
      </c>
      <c r="P10" s="68" t="s">
        <v>153</v>
      </c>
    </row>
    <row r="11" spans="1:16">
      <c r="A11" s="68">
        <v>423</v>
      </c>
      <c r="B11" s="68" t="s">
        <v>156</v>
      </c>
      <c r="C11" s="68" t="s">
        <v>141</v>
      </c>
      <c r="D11" s="68" t="s">
        <v>149</v>
      </c>
      <c r="E11" s="68">
        <v>1</v>
      </c>
      <c r="F11" s="68">
        <v>1</v>
      </c>
      <c r="G11" s="68">
        <v>1</v>
      </c>
      <c r="H11" s="68">
        <v>4</v>
      </c>
      <c r="I11" s="68">
        <v>2564</v>
      </c>
      <c r="J11" s="68">
        <v>19</v>
      </c>
      <c r="K11" s="68" t="s">
        <v>143</v>
      </c>
      <c r="L11" s="69">
        <v>43293</v>
      </c>
      <c r="M11" s="68">
        <v>1</v>
      </c>
      <c r="N11" s="68">
        <v>3</v>
      </c>
      <c r="O11" s="68">
        <v>4</v>
      </c>
      <c r="P11" s="68" t="s">
        <v>153</v>
      </c>
    </row>
    <row r="12" spans="1:16">
      <c r="A12" s="68">
        <v>441</v>
      </c>
      <c r="B12" s="68" t="s">
        <v>157</v>
      </c>
      <c r="C12" s="68" t="s">
        <v>141</v>
      </c>
      <c r="D12" s="68" t="s">
        <v>142</v>
      </c>
      <c r="E12" s="68">
        <v>1</v>
      </c>
      <c r="F12" s="68">
        <v>3</v>
      </c>
      <c r="G12" s="68">
        <v>1</v>
      </c>
      <c r="H12" s="68">
        <v>1</v>
      </c>
      <c r="I12" s="68">
        <v>9950</v>
      </c>
      <c r="J12" s="68">
        <v>34</v>
      </c>
      <c r="K12" s="68" t="s">
        <v>143</v>
      </c>
      <c r="L12" s="69">
        <v>43293</v>
      </c>
      <c r="M12" s="68">
        <v>2</v>
      </c>
      <c r="N12" s="68">
        <v>2</v>
      </c>
      <c r="O12" s="68">
        <v>3</v>
      </c>
      <c r="P12" s="68" t="s">
        <v>153</v>
      </c>
    </row>
    <row r="13" spans="1:16">
      <c r="A13" s="68">
        <v>454</v>
      </c>
      <c r="B13" s="68" t="s">
        <v>158</v>
      </c>
      <c r="C13" s="68" t="s">
        <v>141</v>
      </c>
      <c r="D13" s="68" t="s">
        <v>142</v>
      </c>
      <c r="E13" s="68">
        <v>1</v>
      </c>
      <c r="F13" s="68">
        <v>1</v>
      </c>
      <c r="G13" s="68">
        <v>1</v>
      </c>
      <c r="H13" s="68">
        <v>3</v>
      </c>
      <c r="I13" s="68">
        <v>2741</v>
      </c>
      <c r="J13" s="68">
        <v>26</v>
      </c>
      <c r="K13" s="68" t="s">
        <v>143</v>
      </c>
      <c r="L13" s="69">
        <v>43293</v>
      </c>
      <c r="M13" s="68">
        <v>2</v>
      </c>
      <c r="N13" s="68">
        <v>2</v>
      </c>
      <c r="O13" s="68">
        <v>2</v>
      </c>
      <c r="P13" s="68" t="s">
        <v>153</v>
      </c>
    </row>
    <row r="14" spans="1:16">
      <c r="A14" s="68">
        <v>478</v>
      </c>
      <c r="B14" s="68" t="s">
        <v>159</v>
      </c>
      <c r="C14" s="68" t="s">
        <v>141</v>
      </c>
      <c r="D14" s="68" t="s">
        <v>147</v>
      </c>
      <c r="E14" s="68">
        <v>1</v>
      </c>
      <c r="F14" s="68">
        <v>5</v>
      </c>
      <c r="G14" s="68">
        <v>1</v>
      </c>
      <c r="H14" s="68">
        <v>2</v>
      </c>
      <c r="I14" s="68">
        <v>18200</v>
      </c>
      <c r="J14" s="68">
        <v>50</v>
      </c>
      <c r="K14" s="68" t="s">
        <v>143</v>
      </c>
      <c r="L14" s="69">
        <v>43293</v>
      </c>
      <c r="M14" s="68">
        <v>1</v>
      </c>
      <c r="N14" s="68">
        <v>2</v>
      </c>
      <c r="O14" s="68">
        <v>3</v>
      </c>
      <c r="P14" s="68" t="s">
        <v>160</v>
      </c>
    </row>
    <row r="15" spans="1:16">
      <c r="A15" s="68">
        <v>494</v>
      </c>
      <c r="B15" s="68" t="s">
        <v>161</v>
      </c>
      <c r="C15" s="68" t="s">
        <v>141</v>
      </c>
      <c r="D15" s="68" t="s">
        <v>149</v>
      </c>
      <c r="E15" s="68">
        <v>1</v>
      </c>
      <c r="F15" s="68">
        <v>2</v>
      </c>
      <c r="G15" s="68">
        <v>1</v>
      </c>
      <c r="H15" s="68">
        <v>3</v>
      </c>
      <c r="I15" s="68">
        <v>5985</v>
      </c>
      <c r="J15" s="68">
        <v>44</v>
      </c>
      <c r="K15" s="68" t="s">
        <v>143</v>
      </c>
      <c r="L15" s="69">
        <v>43293</v>
      </c>
      <c r="M15" s="68">
        <v>1</v>
      </c>
      <c r="N15" s="68">
        <v>1</v>
      </c>
      <c r="O15" s="68">
        <v>4</v>
      </c>
      <c r="P15" s="68" t="s">
        <v>160</v>
      </c>
    </row>
    <row r="16" spans="1:16">
      <c r="A16" s="68">
        <v>511</v>
      </c>
      <c r="B16" s="68" t="s">
        <v>162</v>
      </c>
      <c r="C16" s="68" t="s">
        <v>141</v>
      </c>
      <c r="D16" s="68" t="s">
        <v>147</v>
      </c>
      <c r="E16" s="68">
        <v>1</v>
      </c>
      <c r="F16" s="68">
        <v>3</v>
      </c>
      <c r="G16" s="68">
        <v>1</v>
      </c>
      <c r="H16" s="68">
        <v>2</v>
      </c>
      <c r="I16" s="68">
        <v>10725</v>
      </c>
      <c r="J16" s="68">
        <v>54</v>
      </c>
      <c r="K16" s="68" t="s">
        <v>143</v>
      </c>
      <c r="L16" s="69">
        <v>43293</v>
      </c>
      <c r="M16" s="68">
        <v>3</v>
      </c>
      <c r="N16" s="68">
        <v>1</v>
      </c>
      <c r="O16" s="68">
        <v>4</v>
      </c>
      <c r="P16" s="68" t="s">
        <v>160</v>
      </c>
    </row>
    <row r="17" spans="1:16">
      <c r="A17" s="68">
        <v>536</v>
      </c>
      <c r="B17" s="68" t="s">
        <v>163</v>
      </c>
      <c r="C17" s="68" t="s">
        <v>141</v>
      </c>
      <c r="D17" s="68" t="s">
        <v>142</v>
      </c>
      <c r="E17" s="68">
        <v>1</v>
      </c>
      <c r="F17" s="68">
        <v>5</v>
      </c>
      <c r="G17" s="68">
        <v>1</v>
      </c>
      <c r="H17" s="68">
        <v>4</v>
      </c>
      <c r="I17" s="68">
        <v>19141</v>
      </c>
      <c r="J17" s="68">
        <v>41</v>
      </c>
      <c r="K17" s="68" t="s">
        <v>143</v>
      </c>
      <c r="L17" s="69">
        <v>43293</v>
      </c>
      <c r="M17" s="68">
        <v>2</v>
      </c>
      <c r="N17" s="68">
        <v>2</v>
      </c>
      <c r="O17" s="68">
        <v>2</v>
      </c>
      <c r="P17" s="68" t="s">
        <v>144</v>
      </c>
    </row>
    <row r="18" spans="1:16">
      <c r="A18" s="68">
        <v>539</v>
      </c>
      <c r="B18" s="68" t="s">
        <v>164</v>
      </c>
      <c r="C18" s="68" t="s">
        <v>141</v>
      </c>
      <c r="D18" s="68" t="s">
        <v>147</v>
      </c>
      <c r="E18" s="68">
        <v>1</v>
      </c>
      <c r="F18" s="68">
        <v>5</v>
      </c>
      <c r="G18" s="68">
        <v>1</v>
      </c>
      <c r="H18" s="68">
        <v>3</v>
      </c>
      <c r="I18" s="68">
        <v>19189</v>
      </c>
      <c r="J18" s="68">
        <v>41</v>
      </c>
      <c r="K18" s="68" t="s">
        <v>143</v>
      </c>
      <c r="L18" s="69">
        <v>43293</v>
      </c>
      <c r="M18" s="68">
        <v>4</v>
      </c>
      <c r="N18" s="68">
        <v>3</v>
      </c>
      <c r="O18" s="68">
        <v>3</v>
      </c>
      <c r="P18" s="68" t="s">
        <v>144</v>
      </c>
    </row>
    <row r="19" spans="1:16">
      <c r="A19" s="68">
        <v>552</v>
      </c>
      <c r="B19" s="68" t="s">
        <v>165</v>
      </c>
      <c r="C19" s="68" t="s">
        <v>141</v>
      </c>
      <c r="D19" s="68" t="s">
        <v>147</v>
      </c>
      <c r="E19" s="68">
        <v>1</v>
      </c>
      <c r="F19" s="68">
        <v>2</v>
      </c>
      <c r="G19" s="68">
        <v>1</v>
      </c>
      <c r="H19" s="68">
        <v>2</v>
      </c>
      <c r="I19" s="68">
        <v>6389</v>
      </c>
      <c r="J19" s="68">
        <v>39</v>
      </c>
      <c r="K19" s="68" t="s">
        <v>143</v>
      </c>
      <c r="L19" s="69">
        <v>43293</v>
      </c>
      <c r="M19" s="68">
        <v>3</v>
      </c>
      <c r="N19" s="68">
        <v>3</v>
      </c>
      <c r="O19" s="68">
        <v>1</v>
      </c>
      <c r="P19" s="68" t="s">
        <v>144</v>
      </c>
    </row>
    <row r="20" spans="1:16">
      <c r="A20" s="68">
        <v>600</v>
      </c>
      <c r="B20" s="68" t="s">
        <v>166</v>
      </c>
      <c r="C20" s="68" t="s">
        <v>141</v>
      </c>
      <c r="D20" s="68" t="s">
        <v>147</v>
      </c>
      <c r="E20" s="68">
        <v>1</v>
      </c>
      <c r="F20" s="68">
        <v>1</v>
      </c>
      <c r="G20" s="68">
        <v>1</v>
      </c>
      <c r="H20" s="68">
        <v>2</v>
      </c>
      <c r="I20" s="68">
        <v>2143</v>
      </c>
      <c r="J20" s="68">
        <v>36</v>
      </c>
      <c r="K20" s="68" t="s">
        <v>143</v>
      </c>
      <c r="L20" s="69">
        <v>43198</v>
      </c>
      <c r="M20" s="68">
        <v>3</v>
      </c>
      <c r="N20" s="68">
        <v>2</v>
      </c>
      <c r="O20" s="68">
        <v>3</v>
      </c>
      <c r="P20" s="68" t="s">
        <v>144</v>
      </c>
    </row>
    <row r="21" spans="1:16">
      <c r="A21" s="68">
        <v>614</v>
      </c>
      <c r="B21" s="68" t="s">
        <v>167</v>
      </c>
      <c r="C21" s="68" t="s">
        <v>141</v>
      </c>
      <c r="D21" s="68" t="s">
        <v>147</v>
      </c>
      <c r="E21" s="68">
        <v>1</v>
      </c>
      <c r="F21" s="68">
        <v>1</v>
      </c>
      <c r="G21" s="68">
        <v>1</v>
      </c>
      <c r="H21" s="68">
        <v>4</v>
      </c>
      <c r="I21" s="68">
        <v>3737</v>
      </c>
      <c r="J21" s="68">
        <v>34</v>
      </c>
      <c r="K21" s="68" t="s">
        <v>143</v>
      </c>
      <c r="L21" s="69">
        <v>43198</v>
      </c>
      <c r="M21" s="68">
        <v>3</v>
      </c>
      <c r="N21" s="68">
        <v>1</v>
      </c>
      <c r="O21" s="68">
        <v>1</v>
      </c>
      <c r="P21" s="68" t="s">
        <v>144</v>
      </c>
    </row>
    <row r="22" spans="1:16">
      <c r="A22" s="68">
        <v>630</v>
      </c>
      <c r="B22" s="68" t="s">
        <v>168</v>
      </c>
      <c r="C22" s="68" t="s">
        <v>141</v>
      </c>
      <c r="D22" s="68" t="s">
        <v>142</v>
      </c>
      <c r="E22" s="68">
        <v>1</v>
      </c>
      <c r="F22" s="68">
        <v>1</v>
      </c>
      <c r="G22" s="68">
        <v>1</v>
      </c>
      <c r="H22" s="68">
        <v>4</v>
      </c>
      <c r="I22" s="68">
        <v>4936</v>
      </c>
      <c r="J22" s="68">
        <v>28</v>
      </c>
      <c r="K22" s="68" t="s">
        <v>143</v>
      </c>
      <c r="L22" s="69">
        <v>43198</v>
      </c>
      <c r="M22" s="68">
        <v>2</v>
      </c>
      <c r="N22" s="68">
        <v>6</v>
      </c>
      <c r="O22" s="68">
        <v>3</v>
      </c>
      <c r="P22" s="68" t="s">
        <v>144</v>
      </c>
    </row>
    <row r="23" spans="1:16">
      <c r="A23" s="68">
        <v>634</v>
      </c>
      <c r="B23" s="68" t="s">
        <v>169</v>
      </c>
      <c r="C23" s="68" t="s">
        <v>141</v>
      </c>
      <c r="D23" s="68" t="s">
        <v>147</v>
      </c>
      <c r="E23" s="68">
        <v>1</v>
      </c>
      <c r="F23" s="68">
        <v>1</v>
      </c>
      <c r="G23" s="68">
        <v>1</v>
      </c>
      <c r="H23" s="68">
        <v>1</v>
      </c>
      <c r="I23" s="68">
        <v>2342</v>
      </c>
      <c r="J23" s="68">
        <v>36</v>
      </c>
      <c r="K23" s="68" t="s">
        <v>143</v>
      </c>
      <c r="L23" s="69">
        <v>43198</v>
      </c>
      <c r="M23" s="68">
        <v>1</v>
      </c>
      <c r="N23" s="68">
        <v>3</v>
      </c>
      <c r="O23" s="68">
        <v>3</v>
      </c>
      <c r="P23" s="68" t="s">
        <v>144</v>
      </c>
    </row>
    <row r="24" spans="1:16">
      <c r="A24" s="68">
        <v>655</v>
      </c>
      <c r="B24" s="68" t="s">
        <v>170</v>
      </c>
      <c r="C24" s="68" t="s">
        <v>141</v>
      </c>
      <c r="D24" s="68" t="s">
        <v>147</v>
      </c>
      <c r="E24" s="68">
        <v>1</v>
      </c>
      <c r="F24" s="68">
        <v>2</v>
      </c>
      <c r="G24" s="68">
        <v>1</v>
      </c>
      <c r="H24" s="68">
        <v>4</v>
      </c>
      <c r="I24" s="68">
        <v>5204</v>
      </c>
      <c r="J24" s="68">
        <v>39</v>
      </c>
      <c r="K24" s="68" t="s">
        <v>143</v>
      </c>
      <c r="L24" s="69">
        <v>43198</v>
      </c>
      <c r="M24" s="68">
        <v>4</v>
      </c>
      <c r="N24" s="68">
        <v>2</v>
      </c>
      <c r="O24" s="68">
        <v>3</v>
      </c>
      <c r="P24" s="68" t="s">
        <v>144</v>
      </c>
    </row>
    <row r="25" spans="1:16">
      <c r="A25" s="68">
        <v>656</v>
      </c>
      <c r="B25" s="68" t="s">
        <v>171</v>
      </c>
      <c r="C25" s="68" t="s">
        <v>141</v>
      </c>
      <c r="D25" s="68" t="s">
        <v>142</v>
      </c>
      <c r="E25" s="68">
        <v>1</v>
      </c>
      <c r="F25" s="68">
        <v>1</v>
      </c>
      <c r="G25" s="68">
        <v>1</v>
      </c>
      <c r="H25" s="68">
        <v>2</v>
      </c>
      <c r="I25" s="68">
        <v>2277</v>
      </c>
      <c r="J25" s="68">
        <v>33</v>
      </c>
      <c r="K25" s="68" t="s">
        <v>143</v>
      </c>
      <c r="L25" s="69">
        <v>43198</v>
      </c>
      <c r="M25" s="68">
        <v>4</v>
      </c>
      <c r="N25" s="68">
        <v>4</v>
      </c>
      <c r="O25" s="68">
        <v>4</v>
      </c>
      <c r="P25" s="68" t="s">
        <v>144</v>
      </c>
    </row>
    <row r="26" spans="1:16">
      <c r="A26" s="68">
        <v>760</v>
      </c>
      <c r="B26" s="68" t="s">
        <v>172</v>
      </c>
      <c r="C26" s="68" t="s">
        <v>141</v>
      </c>
      <c r="D26" s="68" t="s">
        <v>149</v>
      </c>
      <c r="E26" s="68">
        <v>1</v>
      </c>
      <c r="F26" s="68">
        <v>1</v>
      </c>
      <c r="G26" s="68">
        <v>1</v>
      </c>
      <c r="H26" s="68">
        <v>2</v>
      </c>
      <c r="I26" s="68">
        <v>2177</v>
      </c>
      <c r="J26" s="68">
        <v>45</v>
      </c>
      <c r="K26" s="68" t="s">
        <v>143</v>
      </c>
      <c r="L26" s="69">
        <v>43506</v>
      </c>
      <c r="M26" s="68">
        <v>2</v>
      </c>
      <c r="N26" s="68">
        <v>3</v>
      </c>
      <c r="O26" s="68">
        <v>3</v>
      </c>
      <c r="P26" s="68" t="s">
        <v>144</v>
      </c>
    </row>
    <row r="27" spans="1:16">
      <c r="A27" s="68">
        <v>790</v>
      </c>
      <c r="B27" s="68" t="s">
        <v>173</v>
      </c>
      <c r="C27" s="68" t="s">
        <v>141</v>
      </c>
      <c r="D27" s="68" t="s">
        <v>147</v>
      </c>
      <c r="E27" s="68">
        <v>1</v>
      </c>
      <c r="F27" s="68">
        <v>3</v>
      </c>
      <c r="G27" s="68">
        <v>1</v>
      </c>
      <c r="H27" s="68">
        <v>1</v>
      </c>
      <c r="I27" s="68">
        <v>10482</v>
      </c>
      <c r="J27" s="68">
        <v>44</v>
      </c>
      <c r="K27" s="68" t="s">
        <v>143</v>
      </c>
      <c r="L27" s="69">
        <v>43506</v>
      </c>
      <c r="M27" s="68">
        <v>2</v>
      </c>
      <c r="N27" s="68">
        <v>1</v>
      </c>
      <c r="O27" s="68">
        <v>3</v>
      </c>
      <c r="P27" s="68" t="s">
        <v>144</v>
      </c>
    </row>
    <row r="28" spans="1:16">
      <c r="A28" s="68">
        <v>827</v>
      </c>
      <c r="B28" s="68" t="s">
        <v>174</v>
      </c>
      <c r="C28" s="68" t="s">
        <v>141</v>
      </c>
      <c r="D28" s="68" t="s">
        <v>147</v>
      </c>
      <c r="E28" s="68">
        <v>1</v>
      </c>
      <c r="F28" s="68">
        <v>1</v>
      </c>
      <c r="G28" s="68">
        <v>1</v>
      </c>
      <c r="H28" s="68">
        <v>3</v>
      </c>
      <c r="I28" s="68">
        <v>2844</v>
      </c>
      <c r="J28" s="68">
        <v>38</v>
      </c>
      <c r="K28" s="68" t="s">
        <v>143</v>
      </c>
      <c r="L28" s="69">
        <v>43506</v>
      </c>
      <c r="M28" s="68">
        <v>3</v>
      </c>
      <c r="N28" s="68">
        <v>2</v>
      </c>
      <c r="O28" s="68">
        <v>4</v>
      </c>
      <c r="P28" s="68" t="s">
        <v>144</v>
      </c>
    </row>
    <row r="29" spans="1:16">
      <c r="A29" s="68">
        <v>836</v>
      </c>
      <c r="B29" s="68" t="s">
        <v>175</v>
      </c>
      <c r="C29" s="68" t="s">
        <v>141</v>
      </c>
      <c r="D29" s="68" t="s">
        <v>149</v>
      </c>
      <c r="E29" s="68">
        <v>1</v>
      </c>
      <c r="F29" s="68">
        <v>1</v>
      </c>
      <c r="G29" s="68">
        <v>1</v>
      </c>
      <c r="H29" s="68">
        <v>3</v>
      </c>
      <c r="I29" s="68">
        <v>4323</v>
      </c>
      <c r="J29" s="68">
        <v>35</v>
      </c>
      <c r="K29" s="68" t="s">
        <v>143</v>
      </c>
      <c r="L29" s="69">
        <v>43506</v>
      </c>
      <c r="M29" s="68">
        <v>3</v>
      </c>
      <c r="N29" s="68">
        <v>2</v>
      </c>
      <c r="O29" s="68">
        <v>1</v>
      </c>
      <c r="P29" s="68" t="s">
        <v>144</v>
      </c>
    </row>
    <row r="30" spans="1:16">
      <c r="A30" s="68">
        <v>864</v>
      </c>
      <c r="B30" s="68" t="s">
        <v>176</v>
      </c>
      <c r="C30" s="68" t="s">
        <v>141</v>
      </c>
      <c r="D30" s="68" t="s">
        <v>147</v>
      </c>
      <c r="E30" s="68">
        <v>1</v>
      </c>
      <c r="F30" s="68">
        <v>1</v>
      </c>
      <c r="G30" s="68">
        <v>1</v>
      </c>
      <c r="H30" s="68">
        <v>3</v>
      </c>
      <c r="I30" s="68">
        <v>3600</v>
      </c>
      <c r="J30" s="68">
        <v>33</v>
      </c>
      <c r="K30" s="68" t="s">
        <v>143</v>
      </c>
      <c r="L30" s="69">
        <v>43506</v>
      </c>
      <c r="M30" s="68">
        <v>2</v>
      </c>
      <c r="N30" s="68">
        <v>2</v>
      </c>
      <c r="O30" s="68">
        <v>3</v>
      </c>
      <c r="P30" s="68" t="s">
        <v>144</v>
      </c>
    </row>
    <row r="31" spans="1:16">
      <c r="A31" s="68">
        <v>879</v>
      </c>
      <c r="B31" s="68" t="s">
        <v>177</v>
      </c>
      <c r="C31" s="68" t="s">
        <v>141</v>
      </c>
      <c r="D31" s="68" t="s">
        <v>147</v>
      </c>
      <c r="E31" s="68">
        <v>1</v>
      </c>
      <c r="F31" s="68">
        <v>2</v>
      </c>
      <c r="G31" s="68">
        <v>1</v>
      </c>
      <c r="H31" s="68">
        <v>1</v>
      </c>
      <c r="I31" s="68">
        <v>6272</v>
      </c>
      <c r="J31" s="68">
        <v>42</v>
      </c>
      <c r="K31" s="68" t="s">
        <v>143</v>
      </c>
      <c r="L31" s="69">
        <v>43506</v>
      </c>
      <c r="M31" s="68">
        <v>4</v>
      </c>
      <c r="N31" s="68">
        <v>3</v>
      </c>
      <c r="O31" s="68">
        <v>4</v>
      </c>
      <c r="P31" s="68" t="s">
        <v>144</v>
      </c>
    </row>
    <row r="32" spans="1:16">
      <c r="A32" s="68">
        <v>924</v>
      </c>
      <c r="B32" s="68" t="s">
        <v>178</v>
      </c>
      <c r="C32" s="68" t="s">
        <v>141</v>
      </c>
      <c r="D32" s="68" t="s">
        <v>147</v>
      </c>
      <c r="E32" s="68">
        <v>1</v>
      </c>
      <c r="F32" s="68">
        <v>2</v>
      </c>
      <c r="G32" s="68">
        <v>1</v>
      </c>
      <c r="H32" s="68">
        <v>2</v>
      </c>
      <c r="I32" s="68">
        <v>4490</v>
      </c>
      <c r="J32" s="68">
        <v>34</v>
      </c>
      <c r="K32" s="68" t="s">
        <v>143</v>
      </c>
      <c r="L32" s="69">
        <v>43506</v>
      </c>
      <c r="M32" s="68">
        <v>3</v>
      </c>
      <c r="N32" s="68">
        <v>5</v>
      </c>
      <c r="O32" s="68">
        <v>4</v>
      </c>
      <c r="P32" s="68" t="s">
        <v>179</v>
      </c>
    </row>
    <row r="33" spans="1:16">
      <c r="A33" s="68">
        <v>944</v>
      </c>
      <c r="B33" s="68" t="s">
        <v>180</v>
      </c>
      <c r="C33" s="68" t="s">
        <v>141</v>
      </c>
      <c r="D33" s="68" t="s">
        <v>149</v>
      </c>
      <c r="E33" s="68">
        <v>1</v>
      </c>
      <c r="F33" s="68">
        <v>1</v>
      </c>
      <c r="G33" s="68">
        <v>1</v>
      </c>
      <c r="H33" s="68">
        <v>1</v>
      </c>
      <c r="I33" s="68">
        <v>3423</v>
      </c>
      <c r="J33" s="68">
        <v>46</v>
      </c>
      <c r="K33" s="68" t="s">
        <v>143</v>
      </c>
      <c r="L33" s="69">
        <v>43506</v>
      </c>
      <c r="M33" s="68">
        <v>4</v>
      </c>
      <c r="N33" s="68">
        <v>3</v>
      </c>
      <c r="O33" s="68">
        <v>4</v>
      </c>
      <c r="P33" s="68" t="s">
        <v>179</v>
      </c>
    </row>
    <row r="34" spans="1:16">
      <c r="A34" s="68">
        <v>957</v>
      </c>
      <c r="B34" s="68" t="s">
        <v>181</v>
      </c>
      <c r="C34" s="68" t="s">
        <v>141</v>
      </c>
      <c r="D34" s="68" t="s">
        <v>149</v>
      </c>
      <c r="E34" s="68">
        <v>1</v>
      </c>
      <c r="F34" s="68">
        <v>5</v>
      </c>
      <c r="G34" s="68">
        <v>1</v>
      </c>
      <c r="H34" s="68">
        <v>2</v>
      </c>
      <c r="I34" s="68">
        <v>19717</v>
      </c>
      <c r="J34" s="68">
        <v>56</v>
      </c>
      <c r="K34" s="68" t="s">
        <v>143</v>
      </c>
      <c r="L34" s="69">
        <v>43506</v>
      </c>
      <c r="M34" s="68">
        <v>4</v>
      </c>
      <c r="N34" s="68">
        <v>4</v>
      </c>
      <c r="O34" s="68">
        <v>3</v>
      </c>
      <c r="P34" s="68" t="s">
        <v>179</v>
      </c>
    </row>
    <row r="35" spans="1:16">
      <c r="A35" s="68">
        <v>963</v>
      </c>
      <c r="B35" s="68" t="s">
        <v>182</v>
      </c>
      <c r="C35" s="68" t="s">
        <v>141</v>
      </c>
      <c r="D35" s="68" t="s">
        <v>142</v>
      </c>
      <c r="E35" s="68">
        <v>1</v>
      </c>
      <c r="F35" s="68">
        <v>4</v>
      </c>
      <c r="G35" s="68">
        <v>1</v>
      </c>
      <c r="H35" s="68">
        <v>2</v>
      </c>
      <c r="I35" s="68">
        <v>14026</v>
      </c>
      <c r="J35" s="68">
        <v>51</v>
      </c>
      <c r="K35" s="68" t="s">
        <v>143</v>
      </c>
      <c r="L35" s="69">
        <v>43506</v>
      </c>
      <c r="M35" s="68">
        <v>3</v>
      </c>
      <c r="N35" s="68">
        <v>2</v>
      </c>
      <c r="O35" s="68">
        <v>3</v>
      </c>
      <c r="P35" s="68" t="s">
        <v>179</v>
      </c>
    </row>
    <row r="36" spans="1:16">
      <c r="A36" s="68">
        <v>1000</v>
      </c>
      <c r="B36" s="68" t="s">
        <v>183</v>
      </c>
      <c r="C36" s="68" t="s">
        <v>141</v>
      </c>
      <c r="D36" s="68" t="s">
        <v>147</v>
      </c>
      <c r="E36" s="68">
        <v>1</v>
      </c>
      <c r="F36" s="68">
        <v>4</v>
      </c>
      <c r="G36" s="68">
        <v>1</v>
      </c>
      <c r="H36" s="68">
        <v>1</v>
      </c>
      <c r="I36" s="68">
        <v>16799</v>
      </c>
      <c r="J36" s="68">
        <v>42</v>
      </c>
      <c r="K36" s="68" t="s">
        <v>143</v>
      </c>
      <c r="L36" s="69">
        <v>43506</v>
      </c>
      <c r="M36" s="68">
        <v>3</v>
      </c>
      <c r="N36" s="68">
        <v>5</v>
      </c>
      <c r="O36" s="68">
        <v>3</v>
      </c>
      <c r="P36" s="68" t="s">
        <v>153</v>
      </c>
    </row>
    <row r="37" spans="1:16">
      <c r="A37" s="68">
        <v>1006</v>
      </c>
      <c r="B37" s="68" t="s">
        <v>184</v>
      </c>
      <c r="C37" s="68" t="s">
        <v>141</v>
      </c>
      <c r="D37" s="68" t="s">
        <v>149</v>
      </c>
      <c r="E37" s="68">
        <v>1</v>
      </c>
      <c r="F37" s="68">
        <v>3</v>
      </c>
      <c r="G37" s="68">
        <v>1</v>
      </c>
      <c r="H37" s="68">
        <v>1</v>
      </c>
      <c r="I37" s="68">
        <v>7988</v>
      </c>
      <c r="J37" s="68">
        <v>29</v>
      </c>
      <c r="K37" s="68" t="s">
        <v>143</v>
      </c>
      <c r="L37" s="69">
        <v>43506</v>
      </c>
      <c r="M37" s="68">
        <v>2</v>
      </c>
      <c r="N37" s="68">
        <v>3</v>
      </c>
      <c r="O37" s="68">
        <v>2</v>
      </c>
      <c r="P37" s="68" t="s">
        <v>153</v>
      </c>
    </row>
    <row r="38" spans="1:16">
      <c r="A38" s="68">
        <v>1036</v>
      </c>
      <c r="B38" s="68" t="s">
        <v>185</v>
      </c>
      <c r="C38" s="68" t="s">
        <v>141</v>
      </c>
      <c r="D38" s="68" t="s">
        <v>149</v>
      </c>
      <c r="E38" s="68">
        <v>1</v>
      </c>
      <c r="F38" s="68">
        <v>1</v>
      </c>
      <c r="G38" s="68">
        <v>1</v>
      </c>
      <c r="H38" s="68">
        <v>2</v>
      </c>
      <c r="I38" s="68">
        <v>2109</v>
      </c>
      <c r="J38" s="68">
        <v>31</v>
      </c>
      <c r="K38" s="68" t="s">
        <v>143</v>
      </c>
      <c r="L38" s="69">
        <v>43506</v>
      </c>
      <c r="M38" s="68">
        <v>4</v>
      </c>
      <c r="N38" s="68">
        <v>3</v>
      </c>
      <c r="O38" s="68">
        <v>3</v>
      </c>
      <c r="P38" s="68" t="s">
        <v>153</v>
      </c>
    </row>
    <row r="39" spans="1:16">
      <c r="A39" s="68">
        <v>1040</v>
      </c>
      <c r="B39" s="68" t="s">
        <v>186</v>
      </c>
      <c r="C39" s="68" t="s">
        <v>141</v>
      </c>
      <c r="D39" s="68" t="s">
        <v>147</v>
      </c>
      <c r="E39" s="68">
        <v>1</v>
      </c>
      <c r="F39" s="68">
        <v>1</v>
      </c>
      <c r="G39" s="68">
        <v>1</v>
      </c>
      <c r="H39" s="68">
        <v>3</v>
      </c>
      <c r="I39" s="68">
        <v>2742</v>
      </c>
      <c r="J39" s="68">
        <v>34</v>
      </c>
      <c r="K39" s="68" t="s">
        <v>143</v>
      </c>
      <c r="L39" s="69">
        <v>43506</v>
      </c>
      <c r="M39" s="68">
        <v>1</v>
      </c>
      <c r="N39" s="68">
        <v>0</v>
      </c>
      <c r="O39" s="68">
        <v>3</v>
      </c>
      <c r="P39" s="68" t="s">
        <v>153</v>
      </c>
    </row>
    <row r="40" spans="1:16">
      <c r="A40" s="68">
        <v>1065</v>
      </c>
      <c r="B40" s="68" t="s">
        <v>187</v>
      </c>
      <c r="C40" s="68" t="s">
        <v>141</v>
      </c>
      <c r="D40" s="68" t="s">
        <v>142</v>
      </c>
      <c r="E40" s="68">
        <v>1</v>
      </c>
      <c r="F40" s="68">
        <v>1</v>
      </c>
      <c r="G40" s="68">
        <v>1</v>
      </c>
      <c r="H40" s="68">
        <v>3</v>
      </c>
      <c r="I40" s="68">
        <v>2064</v>
      </c>
      <c r="J40" s="68">
        <v>30</v>
      </c>
      <c r="K40" s="68" t="s">
        <v>143</v>
      </c>
      <c r="L40" s="69">
        <v>43506</v>
      </c>
      <c r="M40" s="68">
        <v>3</v>
      </c>
      <c r="N40" s="68">
        <v>3</v>
      </c>
      <c r="O40" s="68">
        <v>4</v>
      </c>
      <c r="P40" s="68" t="s">
        <v>153</v>
      </c>
    </row>
    <row r="41" spans="1:16">
      <c r="A41" s="68">
        <v>1097</v>
      </c>
      <c r="B41" s="68" t="s">
        <v>188</v>
      </c>
      <c r="C41" s="68" t="s">
        <v>141</v>
      </c>
      <c r="D41" s="68" t="s">
        <v>149</v>
      </c>
      <c r="E41" s="68">
        <v>1</v>
      </c>
      <c r="F41" s="68">
        <v>4</v>
      </c>
      <c r="G41" s="68">
        <v>1</v>
      </c>
      <c r="H41" s="68">
        <v>4</v>
      </c>
      <c r="I41" s="68">
        <v>16437</v>
      </c>
      <c r="J41" s="68">
        <v>40</v>
      </c>
      <c r="K41" s="68" t="s">
        <v>143</v>
      </c>
      <c r="L41" s="69">
        <v>43506</v>
      </c>
      <c r="M41" s="68">
        <v>3</v>
      </c>
      <c r="N41" s="68">
        <v>2</v>
      </c>
      <c r="O41" s="68">
        <v>3</v>
      </c>
      <c r="P41" s="68" t="s">
        <v>153</v>
      </c>
    </row>
    <row r="42" spans="1:16">
      <c r="A42" s="68">
        <v>1108</v>
      </c>
      <c r="B42" s="68" t="s">
        <v>189</v>
      </c>
      <c r="C42" s="68" t="s">
        <v>141</v>
      </c>
      <c r="D42" s="68" t="s">
        <v>147</v>
      </c>
      <c r="E42" s="68">
        <v>1</v>
      </c>
      <c r="F42" s="68">
        <v>2</v>
      </c>
      <c r="G42" s="68">
        <v>1</v>
      </c>
      <c r="H42" s="68">
        <v>3</v>
      </c>
      <c r="I42" s="68">
        <v>6077</v>
      </c>
      <c r="J42" s="68">
        <v>38</v>
      </c>
      <c r="K42" s="68" t="s">
        <v>143</v>
      </c>
      <c r="L42" s="69">
        <v>43506</v>
      </c>
      <c r="M42" s="68">
        <v>3</v>
      </c>
      <c r="N42" s="68">
        <v>2</v>
      </c>
      <c r="O42" s="68">
        <v>3</v>
      </c>
      <c r="P42" s="68" t="s">
        <v>153</v>
      </c>
    </row>
    <row r="43" spans="1:16">
      <c r="A43" s="68">
        <v>1155</v>
      </c>
      <c r="B43" s="68" t="s">
        <v>190</v>
      </c>
      <c r="C43" s="68" t="s">
        <v>141</v>
      </c>
      <c r="D43" s="68" t="s">
        <v>147</v>
      </c>
      <c r="E43" s="68">
        <v>1</v>
      </c>
      <c r="F43" s="68">
        <v>5</v>
      </c>
      <c r="G43" s="68">
        <v>1</v>
      </c>
      <c r="H43" s="68">
        <v>3</v>
      </c>
      <c r="I43" s="68">
        <v>19658</v>
      </c>
      <c r="J43" s="68">
        <v>47</v>
      </c>
      <c r="K43" s="68" t="s">
        <v>143</v>
      </c>
      <c r="L43" s="69">
        <v>43506</v>
      </c>
      <c r="M43" s="68">
        <v>4</v>
      </c>
      <c r="N43" s="68">
        <v>2</v>
      </c>
      <c r="O43" s="68">
        <v>3</v>
      </c>
      <c r="P43" s="68" t="s">
        <v>153</v>
      </c>
    </row>
    <row r="44" spans="1:16">
      <c r="A44" s="68">
        <v>1166</v>
      </c>
      <c r="B44" s="68" t="s">
        <v>191</v>
      </c>
      <c r="C44" s="68" t="s">
        <v>141</v>
      </c>
      <c r="D44" s="68" t="s">
        <v>147</v>
      </c>
      <c r="E44" s="68">
        <v>1</v>
      </c>
      <c r="F44" s="68">
        <v>2</v>
      </c>
      <c r="G44" s="68">
        <v>1</v>
      </c>
      <c r="H44" s="68">
        <v>4</v>
      </c>
      <c r="I44" s="68">
        <v>5743</v>
      </c>
      <c r="J44" s="68">
        <v>44</v>
      </c>
      <c r="K44" s="68" t="s">
        <v>143</v>
      </c>
      <c r="L44" s="69">
        <v>43506</v>
      </c>
      <c r="M44" s="68">
        <v>1</v>
      </c>
      <c r="N44" s="68">
        <v>3</v>
      </c>
      <c r="O44" s="68">
        <v>3</v>
      </c>
      <c r="P44" s="68" t="s">
        <v>153</v>
      </c>
    </row>
    <row r="45" spans="1:16">
      <c r="A45" s="68">
        <v>1201</v>
      </c>
      <c r="B45" s="68" t="s">
        <v>192</v>
      </c>
      <c r="C45" s="68" t="s">
        <v>141</v>
      </c>
      <c r="D45" s="68" t="s">
        <v>142</v>
      </c>
      <c r="E45" s="68">
        <v>1</v>
      </c>
      <c r="F45" s="68">
        <v>1</v>
      </c>
      <c r="G45" s="68">
        <v>1</v>
      </c>
      <c r="H45" s="68">
        <v>4</v>
      </c>
      <c r="I45" s="68">
        <v>3195</v>
      </c>
      <c r="J45" s="68">
        <v>44</v>
      </c>
      <c r="K45" s="68" t="s">
        <v>143</v>
      </c>
      <c r="L45" s="69">
        <v>43506</v>
      </c>
      <c r="M45" s="68">
        <v>3</v>
      </c>
      <c r="N45" s="68">
        <v>2</v>
      </c>
      <c r="O45" s="68">
        <v>3</v>
      </c>
      <c r="P45" s="68" t="s">
        <v>153</v>
      </c>
    </row>
    <row r="46" spans="1:16">
      <c r="A46" s="68">
        <v>1223</v>
      </c>
      <c r="B46" s="68" t="s">
        <v>193</v>
      </c>
      <c r="C46" s="68" t="s">
        <v>141</v>
      </c>
      <c r="D46" s="68" t="s">
        <v>147</v>
      </c>
      <c r="E46" s="68">
        <v>1</v>
      </c>
      <c r="F46" s="68">
        <v>1</v>
      </c>
      <c r="G46" s="68">
        <v>1</v>
      </c>
      <c r="H46" s="68">
        <v>3</v>
      </c>
      <c r="I46" s="68">
        <v>1555</v>
      </c>
      <c r="J46" s="68">
        <v>24</v>
      </c>
      <c r="K46" s="68" t="s">
        <v>143</v>
      </c>
      <c r="L46" s="69">
        <v>43506</v>
      </c>
      <c r="M46" s="68">
        <v>4</v>
      </c>
      <c r="N46" s="68">
        <v>2</v>
      </c>
      <c r="O46" s="68">
        <v>3</v>
      </c>
      <c r="P46" s="68" t="s">
        <v>153</v>
      </c>
    </row>
    <row r="47" spans="1:16">
      <c r="A47" s="68">
        <v>1229</v>
      </c>
      <c r="B47" s="68" t="s">
        <v>194</v>
      </c>
      <c r="C47" s="68" t="s">
        <v>141</v>
      </c>
      <c r="D47" s="68" t="s">
        <v>147</v>
      </c>
      <c r="E47" s="68">
        <v>1</v>
      </c>
      <c r="F47" s="68">
        <v>2</v>
      </c>
      <c r="G47" s="68">
        <v>1</v>
      </c>
      <c r="H47" s="68">
        <v>2</v>
      </c>
      <c r="I47" s="68">
        <v>6430</v>
      </c>
      <c r="J47" s="68">
        <v>41</v>
      </c>
      <c r="K47" s="68" t="s">
        <v>143</v>
      </c>
      <c r="L47" s="69">
        <v>43506</v>
      </c>
      <c r="M47" s="68">
        <v>3</v>
      </c>
      <c r="N47" s="68">
        <v>4</v>
      </c>
      <c r="O47" s="68">
        <v>3</v>
      </c>
      <c r="P47" s="68" t="s">
        <v>153</v>
      </c>
    </row>
    <row r="48" spans="1:16">
      <c r="A48" s="68">
        <v>1244</v>
      </c>
      <c r="B48" s="68" t="s">
        <v>195</v>
      </c>
      <c r="C48" s="68" t="s">
        <v>141</v>
      </c>
      <c r="D48" s="68" t="s">
        <v>147</v>
      </c>
      <c r="E48" s="68">
        <v>1</v>
      </c>
      <c r="F48" s="68">
        <v>3</v>
      </c>
      <c r="G48" s="68">
        <v>1</v>
      </c>
      <c r="H48" s="68">
        <v>3</v>
      </c>
      <c r="I48" s="68">
        <v>9756</v>
      </c>
      <c r="J48" s="68">
        <v>45</v>
      </c>
      <c r="K48" s="68" t="s">
        <v>143</v>
      </c>
      <c r="L48" s="69">
        <v>43506</v>
      </c>
      <c r="M48" s="68">
        <v>3</v>
      </c>
      <c r="N48" s="68">
        <v>2</v>
      </c>
      <c r="O48" s="68">
        <v>4</v>
      </c>
      <c r="P48" s="68" t="s">
        <v>153</v>
      </c>
    </row>
    <row r="49" spans="1:16">
      <c r="A49" s="68">
        <v>1246</v>
      </c>
      <c r="B49" s="68" t="s">
        <v>196</v>
      </c>
      <c r="C49" s="68" t="s">
        <v>141</v>
      </c>
      <c r="D49" s="68" t="s">
        <v>147</v>
      </c>
      <c r="E49" s="68">
        <v>1</v>
      </c>
      <c r="F49" s="68">
        <v>1</v>
      </c>
      <c r="G49" s="68">
        <v>1</v>
      </c>
      <c r="H49" s="68">
        <v>4</v>
      </c>
      <c r="I49" s="68">
        <v>2145</v>
      </c>
      <c r="J49" s="68">
        <v>24</v>
      </c>
      <c r="K49" s="68" t="s">
        <v>143</v>
      </c>
      <c r="L49" s="69">
        <v>43506</v>
      </c>
      <c r="M49" s="68">
        <v>1</v>
      </c>
      <c r="N49" s="68">
        <v>2</v>
      </c>
      <c r="O49" s="68">
        <v>3</v>
      </c>
      <c r="P49" s="68" t="s">
        <v>153</v>
      </c>
    </row>
    <row r="50" spans="1:16">
      <c r="A50" s="68">
        <v>1247</v>
      </c>
      <c r="B50" s="68" t="s">
        <v>197</v>
      </c>
      <c r="C50" s="68" t="s">
        <v>141</v>
      </c>
      <c r="D50" s="68" t="s">
        <v>142</v>
      </c>
      <c r="E50" s="68">
        <v>1</v>
      </c>
      <c r="F50" s="68">
        <v>1</v>
      </c>
      <c r="G50" s="68">
        <v>1</v>
      </c>
      <c r="H50" s="68">
        <v>4</v>
      </c>
      <c r="I50" s="68">
        <v>2180</v>
      </c>
      <c r="J50" s="68">
        <v>30</v>
      </c>
      <c r="K50" s="68" t="s">
        <v>143</v>
      </c>
      <c r="L50" s="69">
        <v>43506</v>
      </c>
      <c r="M50" s="68">
        <v>3</v>
      </c>
      <c r="N50" s="68">
        <v>0</v>
      </c>
      <c r="O50" s="68">
        <v>2</v>
      </c>
      <c r="P50" s="68" t="s">
        <v>153</v>
      </c>
    </row>
    <row r="51" spans="1:16">
      <c r="A51" s="68">
        <v>1270</v>
      </c>
      <c r="B51" s="68" t="s">
        <v>198</v>
      </c>
      <c r="C51" s="68" t="s">
        <v>141</v>
      </c>
      <c r="D51" s="68" t="s">
        <v>149</v>
      </c>
      <c r="E51" s="68">
        <v>1</v>
      </c>
      <c r="F51" s="68">
        <v>1</v>
      </c>
      <c r="G51" s="68">
        <v>1</v>
      </c>
      <c r="H51" s="68">
        <v>4</v>
      </c>
      <c r="I51" s="68">
        <v>3539</v>
      </c>
      <c r="J51" s="68">
        <v>43</v>
      </c>
      <c r="K51" s="68" t="s">
        <v>143</v>
      </c>
      <c r="L51" s="69">
        <v>43506</v>
      </c>
      <c r="M51" s="68">
        <v>2</v>
      </c>
      <c r="N51" s="68">
        <v>5</v>
      </c>
      <c r="O51" s="68">
        <v>3</v>
      </c>
      <c r="P51" s="68" t="s">
        <v>153</v>
      </c>
    </row>
    <row r="52" spans="1:16">
      <c r="A52" s="68">
        <v>1281</v>
      </c>
      <c r="B52" s="68" t="s">
        <v>199</v>
      </c>
      <c r="C52" s="68" t="s">
        <v>141</v>
      </c>
      <c r="D52" s="68" t="s">
        <v>142</v>
      </c>
      <c r="E52" s="68">
        <v>1</v>
      </c>
      <c r="F52" s="68">
        <v>2</v>
      </c>
      <c r="G52" s="68">
        <v>1</v>
      </c>
      <c r="H52" s="68">
        <v>2</v>
      </c>
      <c r="I52" s="68">
        <v>4071</v>
      </c>
      <c r="J52" s="68">
        <v>37</v>
      </c>
      <c r="K52" s="68" t="s">
        <v>143</v>
      </c>
      <c r="L52" s="69">
        <v>43506</v>
      </c>
      <c r="M52" s="68">
        <v>3</v>
      </c>
      <c r="N52" s="68">
        <v>4</v>
      </c>
      <c r="O52" s="68">
        <v>2</v>
      </c>
      <c r="P52" s="68" t="s">
        <v>153</v>
      </c>
    </row>
    <row r="53" spans="1:16">
      <c r="A53" s="68">
        <v>1290</v>
      </c>
      <c r="B53" s="68" t="s">
        <v>200</v>
      </c>
      <c r="C53" s="68" t="s">
        <v>141</v>
      </c>
      <c r="D53" s="68" t="s">
        <v>142</v>
      </c>
      <c r="E53" s="68">
        <v>1</v>
      </c>
      <c r="F53" s="68">
        <v>1</v>
      </c>
      <c r="G53" s="68">
        <v>1</v>
      </c>
      <c r="H53" s="68">
        <v>2</v>
      </c>
      <c r="I53" s="68">
        <v>2592</v>
      </c>
      <c r="J53" s="68">
        <v>38</v>
      </c>
      <c r="K53" s="68" t="s">
        <v>143</v>
      </c>
      <c r="L53" s="69">
        <v>43506</v>
      </c>
      <c r="M53" s="68">
        <v>1</v>
      </c>
      <c r="N53" s="68">
        <v>3</v>
      </c>
      <c r="O53" s="68">
        <v>3</v>
      </c>
      <c r="P53" s="68" t="s">
        <v>153</v>
      </c>
    </row>
    <row r="54" spans="1:16">
      <c r="A54" s="68">
        <v>1298</v>
      </c>
      <c r="B54" s="68" t="s">
        <v>201</v>
      </c>
      <c r="C54" s="68" t="s">
        <v>141</v>
      </c>
      <c r="D54" s="68" t="s">
        <v>147</v>
      </c>
      <c r="E54" s="68">
        <v>1</v>
      </c>
      <c r="F54" s="68">
        <v>1</v>
      </c>
      <c r="G54" s="68">
        <v>1</v>
      </c>
      <c r="H54" s="68">
        <v>2</v>
      </c>
      <c r="I54" s="68">
        <v>2148</v>
      </c>
      <c r="J54" s="68">
        <v>26</v>
      </c>
      <c r="K54" s="68" t="s">
        <v>143</v>
      </c>
      <c r="L54" s="69">
        <v>43506</v>
      </c>
      <c r="M54" s="68">
        <v>4</v>
      </c>
      <c r="N54" s="68">
        <v>3</v>
      </c>
      <c r="O54" s="68">
        <v>3</v>
      </c>
      <c r="P54" s="68" t="s">
        <v>153</v>
      </c>
    </row>
    <row r="55" spans="1:16">
      <c r="A55" s="68">
        <v>1313</v>
      </c>
      <c r="B55" s="68" t="s">
        <v>202</v>
      </c>
      <c r="C55" s="68" t="s">
        <v>141</v>
      </c>
      <c r="D55" s="68" t="s">
        <v>147</v>
      </c>
      <c r="E55" s="68">
        <v>1</v>
      </c>
      <c r="F55" s="68">
        <v>1</v>
      </c>
      <c r="G55" s="68">
        <v>1</v>
      </c>
      <c r="H55" s="68">
        <v>1</v>
      </c>
      <c r="I55" s="68">
        <v>2956</v>
      </c>
      <c r="J55" s="68">
        <v>31</v>
      </c>
      <c r="K55" s="68" t="s">
        <v>143</v>
      </c>
      <c r="L55" s="69">
        <v>43506</v>
      </c>
      <c r="M55" s="68">
        <v>4</v>
      </c>
      <c r="N55" s="68">
        <v>4</v>
      </c>
      <c r="O55" s="68">
        <v>3</v>
      </c>
      <c r="P55" s="68" t="s">
        <v>153</v>
      </c>
    </row>
    <row r="56" spans="1:16">
      <c r="A56" s="68">
        <v>1314</v>
      </c>
      <c r="B56" s="68" t="s">
        <v>203</v>
      </c>
      <c r="C56" s="68" t="s">
        <v>141</v>
      </c>
      <c r="D56" s="68" t="s">
        <v>142</v>
      </c>
      <c r="E56" s="68">
        <v>1</v>
      </c>
      <c r="F56" s="68">
        <v>1</v>
      </c>
      <c r="G56" s="68">
        <v>1</v>
      </c>
      <c r="H56" s="68">
        <v>1</v>
      </c>
      <c r="I56" s="68">
        <v>2335</v>
      </c>
      <c r="J56" s="68">
        <v>29</v>
      </c>
      <c r="K56" s="68" t="s">
        <v>143</v>
      </c>
      <c r="L56" s="69">
        <v>43166</v>
      </c>
      <c r="M56" s="68">
        <v>1</v>
      </c>
      <c r="N56" s="68">
        <v>3</v>
      </c>
      <c r="O56" s="68">
        <v>3</v>
      </c>
      <c r="P56" s="68" t="s">
        <v>153</v>
      </c>
    </row>
    <row r="57" spans="1:16">
      <c r="A57" s="68">
        <v>1324</v>
      </c>
      <c r="B57" s="68" t="s">
        <v>204</v>
      </c>
      <c r="C57" s="68" t="s">
        <v>141</v>
      </c>
      <c r="D57" s="68" t="s">
        <v>142</v>
      </c>
      <c r="E57" s="68">
        <v>1</v>
      </c>
      <c r="F57" s="68">
        <v>1</v>
      </c>
      <c r="G57" s="68">
        <v>1</v>
      </c>
      <c r="H57" s="68">
        <v>4</v>
      </c>
      <c r="I57" s="68">
        <v>2706</v>
      </c>
      <c r="J57" s="68">
        <v>28</v>
      </c>
      <c r="K57" s="68" t="s">
        <v>143</v>
      </c>
      <c r="L57" s="69">
        <v>43166</v>
      </c>
      <c r="M57" s="68">
        <v>3</v>
      </c>
      <c r="N57" s="68">
        <v>2</v>
      </c>
      <c r="O57" s="68">
        <v>3</v>
      </c>
      <c r="P57" s="68" t="s">
        <v>153</v>
      </c>
    </row>
    <row r="58" spans="1:16">
      <c r="A58" s="68">
        <v>1330</v>
      </c>
      <c r="B58" s="68" t="s">
        <v>205</v>
      </c>
      <c r="C58" s="68" t="s">
        <v>141</v>
      </c>
      <c r="D58" s="68" t="s">
        <v>147</v>
      </c>
      <c r="E58" s="68">
        <v>1</v>
      </c>
      <c r="F58" s="68">
        <v>1</v>
      </c>
      <c r="G58" s="68">
        <v>1</v>
      </c>
      <c r="H58" s="68">
        <v>2</v>
      </c>
      <c r="I58" s="68">
        <v>2804</v>
      </c>
      <c r="J58" s="68">
        <v>29</v>
      </c>
      <c r="K58" s="68" t="s">
        <v>143</v>
      </c>
      <c r="L58" s="69">
        <v>43166</v>
      </c>
      <c r="M58" s="68">
        <v>4</v>
      </c>
      <c r="N58" s="68">
        <v>3</v>
      </c>
      <c r="O58" s="68">
        <v>3</v>
      </c>
      <c r="P58" s="68" t="s">
        <v>153</v>
      </c>
    </row>
    <row r="59" spans="1:16">
      <c r="A59" s="68">
        <v>1348</v>
      </c>
      <c r="B59" s="68" t="s">
        <v>206</v>
      </c>
      <c r="C59" s="68" t="s">
        <v>141</v>
      </c>
      <c r="D59" s="68" t="s">
        <v>149</v>
      </c>
      <c r="E59" s="68">
        <v>1</v>
      </c>
      <c r="F59" s="68">
        <v>2</v>
      </c>
      <c r="G59" s="68">
        <v>1</v>
      </c>
      <c r="H59" s="68">
        <v>4</v>
      </c>
      <c r="I59" s="68">
        <v>3886</v>
      </c>
      <c r="J59" s="68">
        <v>36</v>
      </c>
      <c r="K59" s="68" t="s">
        <v>143</v>
      </c>
      <c r="L59" s="69">
        <v>43166</v>
      </c>
      <c r="M59" s="68">
        <v>2</v>
      </c>
      <c r="N59" s="68">
        <v>2</v>
      </c>
      <c r="O59" s="68">
        <v>2</v>
      </c>
      <c r="P59" s="68" t="s">
        <v>153</v>
      </c>
    </row>
    <row r="60" spans="1:16">
      <c r="A60" s="68">
        <v>1380</v>
      </c>
      <c r="B60" s="68" t="s">
        <v>207</v>
      </c>
      <c r="C60" s="68" t="s">
        <v>141</v>
      </c>
      <c r="D60" s="68" t="s">
        <v>147</v>
      </c>
      <c r="E60" s="68">
        <v>1</v>
      </c>
      <c r="F60" s="68">
        <v>1</v>
      </c>
      <c r="G60" s="68">
        <v>1</v>
      </c>
      <c r="H60" s="68">
        <v>2</v>
      </c>
      <c r="I60" s="68">
        <v>2863</v>
      </c>
      <c r="J60" s="68">
        <v>27</v>
      </c>
      <c r="K60" s="68" t="s">
        <v>143</v>
      </c>
      <c r="L60" s="69">
        <v>43623</v>
      </c>
      <c r="M60" s="68">
        <v>1</v>
      </c>
      <c r="N60" s="68">
        <v>2</v>
      </c>
      <c r="O60" s="68">
        <v>3</v>
      </c>
      <c r="P60" s="68" t="s">
        <v>208</v>
      </c>
    </row>
    <row r="61" spans="1:16">
      <c r="A61" s="68">
        <v>1401</v>
      </c>
      <c r="B61" s="68" t="s">
        <v>209</v>
      </c>
      <c r="C61" s="68" t="s">
        <v>141</v>
      </c>
      <c r="D61" s="68" t="s">
        <v>147</v>
      </c>
      <c r="E61" s="68">
        <v>1</v>
      </c>
      <c r="F61" s="68">
        <v>1</v>
      </c>
      <c r="G61" s="68">
        <v>1</v>
      </c>
      <c r="H61" s="68">
        <v>2</v>
      </c>
      <c r="I61" s="68">
        <v>2991</v>
      </c>
      <c r="J61" s="68">
        <v>38</v>
      </c>
      <c r="K61" s="68" t="s">
        <v>143</v>
      </c>
      <c r="L61" s="69">
        <v>43623</v>
      </c>
      <c r="M61" s="68">
        <v>4</v>
      </c>
      <c r="N61" s="68">
        <v>2</v>
      </c>
      <c r="O61" s="68">
        <v>3</v>
      </c>
      <c r="P61" s="68" t="s">
        <v>208</v>
      </c>
    </row>
    <row r="62" spans="1:16">
      <c r="A62" s="68">
        <v>1402</v>
      </c>
      <c r="B62" s="68" t="s">
        <v>210</v>
      </c>
      <c r="C62" s="68" t="s">
        <v>141</v>
      </c>
      <c r="D62" s="68" t="s">
        <v>147</v>
      </c>
      <c r="E62" s="68">
        <v>1</v>
      </c>
      <c r="F62" s="68">
        <v>5</v>
      </c>
      <c r="G62" s="68">
        <v>1</v>
      </c>
      <c r="H62" s="68">
        <v>2</v>
      </c>
      <c r="I62" s="68">
        <v>19636</v>
      </c>
      <c r="J62" s="68">
        <v>55</v>
      </c>
      <c r="K62" s="68" t="s">
        <v>143</v>
      </c>
      <c r="L62" s="69">
        <v>43623</v>
      </c>
      <c r="M62" s="68">
        <v>3</v>
      </c>
      <c r="N62" s="68">
        <v>0</v>
      </c>
      <c r="O62" s="68">
        <v>3</v>
      </c>
      <c r="P62" s="68" t="s">
        <v>208</v>
      </c>
    </row>
    <row r="63" spans="1:16">
      <c r="A63" s="68">
        <v>1412</v>
      </c>
      <c r="B63" s="68" t="s">
        <v>211</v>
      </c>
      <c r="C63" s="68" t="s">
        <v>141</v>
      </c>
      <c r="D63" s="68" t="s">
        <v>147</v>
      </c>
      <c r="E63" s="68">
        <v>1</v>
      </c>
      <c r="F63" s="68">
        <v>1</v>
      </c>
      <c r="G63" s="68">
        <v>1</v>
      </c>
      <c r="H63" s="68">
        <v>2</v>
      </c>
      <c r="I63" s="68">
        <v>2187</v>
      </c>
      <c r="J63" s="68">
        <v>25</v>
      </c>
      <c r="K63" s="68" t="s">
        <v>143</v>
      </c>
      <c r="L63" s="69">
        <v>43623</v>
      </c>
      <c r="M63" s="68">
        <v>3</v>
      </c>
      <c r="N63" s="68">
        <v>3</v>
      </c>
      <c r="O63" s="68">
        <v>3</v>
      </c>
      <c r="P63" s="68" t="s">
        <v>208</v>
      </c>
    </row>
    <row r="64" spans="1:16">
      <c r="A64" s="68">
        <v>1451</v>
      </c>
      <c r="B64" s="68" t="s">
        <v>212</v>
      </c>
      <c r="C64" s="68" t="s">
        <v>141</v>
      </c>
      <c r="D64" s="68" t="s">
        <v>149</v>
      </c>
      <c r="E64" s="68">
        <v>1</v>
      </c>
      <c r="F64" s="68">
        <v>3</v>
      </c>
      <c r="G64" s="68">
        <v>1</v>
      </c>
      <c r="H64" s="68">
        <v>4</v>
      </c>
      <c r="I64" s="68">
        <v>8837</v>
      </c>
      <c r="J64" s="68">
        <v>35</v>
      </c>
      <c r="K64" s="68" t="s">
        <v>143</v>
      </c>
      <c r="L64" s="69">
        <v>43623</v>
      </c>
      <c r="M64" s="68">
        <v>3</v>
      </c>
      <c r="N64" s="68">
        <v>2</v>
      </c>
      <c r="O64" s="68">
        <v>3</v>
      </c>
      <c r="P64" s="68" t="s">
        <v>208</v>
      </c>
    </row>
    <row r="65" spans="1:16">
      <c r="A65" s="68">
        <v>5</v>
      </c>
      <c r="B65" s="68" t="s">
        <v>213</v>
      </c>
      <c r="C65" s="68" t="s">
        <v>141</v>
      </c>
      <c r="D65" s="68" t="s">
        <v>147</v>
      </c>
      <c r="E65" s="68">
        <v>2</v>
      </c>
      <c r="F65" s="68">
        <v>1</v>
      </c>
      <c r="G65" s="68">
        <v>1</v>
      </c>
      <c r="H65" s="68">
        <v>2</v>
      </c>
      <c r="I65" s="68">
        <v>3468</v>
      </c>
      <c r="J65" s="68">
        <v>27</v>
      </c>
      <c r="K65" s="68" t="s">
        <v>143</v>
      </c>
      <c r="L65" s="69">
        <v>43192</v>
      </c>
      <c r="M65" s="68">
        <v>1</v>
      </c>
      <c r="N65" s="68">
        <v>3</v>
      </c>
      <c r="O65" s="68">
        <v>3</v>
      </c>
      <c r="P65" s="68" t="s">
        <v>160</v>
      </c>
    </row>
    <row r="66" spans="1:16">
      <c r="A66" s="68">
        <v>6</v>
      </c>
      <c r="B66" s="68" t="s">
        <v>215</v>
      </c>
      <c r="C66" s="68" t="s">
        <v>141</v>
      </c>
      <c r="D66" s="68" t="s">
        <v>149</v>
      </c>
      <c r="E66" s="68">
        <v>2</v>
      </c>
      <c r="F66" s="68">
        <v>1</v>
      </c>
      <c r="G66" s="68">
        <v>1</v>
      </c>
      <c r="H66" s="68">
        <v>4</v>
      </c>
      <c r="I66" s="68">
        <v>3068</v>
      </c>
      <c r="J66" s="68">
        <v>32</v>
      </c>
      <c r="K66" s="68" t="s">
        <v>143</v>
      </c>
      <c r="L66" s="69">
        <v>43222</v>
      </c>
      <c r="M66" s="68">
        <v>4</v>
      </c>
      <c r="N66" s="68">
        <v>2</v>
      </c>
      <c r="O66" s="68">
        <v>2</v>
      </c>
      <c r="P66" s="68" t="s">
        <v>160</v>
      </c>
    </row>
    <row r="67" spans="1:16">
      <c r="A67" s="68">
        <v>7</v>
      </c>
      <c r="B67" s="68" t="s">
        <v>216</v>
      </c>
      <c r="C67" s="68" t="s">
        <v>141</v>
      </c>
      <c r="D67" s="68" t="s">
        <v>147</v>
      </c>
      <c r="E67" s="68">
        <v>2</v>
      </c>
      <c r="F67" s="68">
        <v>1</v>
      </c>
      <c r="G67" s="68">
        <v>1</v>
      </c>
      <c r="H67" s="68">
        <v>5</v>
      </c>
      <c r="I67" s="68">
        <v>2670</v>
      </c>
      <c r="J67" s="68">
        <v>59</v>
      </c>
      <c r="K67" s="68" t="s">
        <v>143</v>
      </c>
      <c r="L67" s="69">
        <v>43253</v>
      </c>
      <c r="M67" s="68">
        <v>3</v>
      </c>
      <c r="N67" s="68">
        <v>3</v>
      </c>
      <c r="O67" s="68">
        <v>2</v>
      </c>
      <c r="P67" s="68" t="s">
        <v>160</v>
      </c>
    </row>
    <row r="68" spans="1:16">
      <c r="A68" s="68">
        <v>8</v>
      </c>
      <c r="B68" s="68" t="s">
        <v>217</v>
      </c>
      <c r="C68" s="68" t="s">
        <v>141</v>
      </c>
      <c r="D68" s="68" t="s">
        <v>142</v>
      </c>
      <c r="E68" s="68">
        <v>2</v>
      </c>
      <c r="F68" s="68">
        <v>1</v>
      </c>
      <c r="G68" s="68">
        <v>1</v>
      </c>
      <c r="H68" s="68">
        <v>3</v>
      </c>
      <c r="I68" s="68">
        <v>2693</v>
      </c>
      <c r="J68" s="68">
        <v>30</v>
      </c>
      <c r="K68" s="68" t="s">
        <v>143</v>
      </c>
      <c r="L68" s="69">
        <v>43283</v>
      </c>
      <c r="M68" s="68">
        <v>4</v>
      </c>
      <c r="N68" s="68">
        <v>2</v>
      </c>
      <c r="O68" s="68">
        <v>3</v>
      </c>
      <c r="P68" s="68" t="s">
        <v>160</v>
      </c>
    </row>
    <row r="69" spans="1:16">
      <c r="A69" s="68">
        <v>9</v>
      </c>
      <c r="B69" s="68" t="s">
        <v>218</v>
      </c>
      <c r="C69" s="68" t="s">
        <v>141</v>
      </c>
      <c r="D69" s="68" t="s">
        <v>149</v>
      </c>
      <c r="E69" s="68">
        <v>2</v>
      </c>
      <c r="F69" s="68">
        <v>3</v>
      </c>
      <c r="G69" s="68">
        <v>1</v>
      </c>
      <c r="H69" s="68">
        <v>5</v>
      </c>
      <c r="I69" s="68">
        <v>9526</v>
      </c>
      <c r="J69" s="68">
        <v>38</v>
      </c>
      <c r="K69" s="68" t="s">
        <v>143</v>
      </c>
      <c r="L69" s="69">
        <v>43314</v>
      </c>
      <c r="M69" s="68">
        <v>4</v>
      </c>
      <c r="N69" s="68">
        <v>2</v>
      </c>
      <c r="O69" s="68">
        <v>3</v>
      </c>
      <c r="P69" s="68" t="s">
        <v>160</v>
      </c>
    </row>
    <row r="70" spans="1:16">
      <c r="A70" s="68">
        <v>9</v>
      </c>
      <c r="B70" s="68" t="s">
        <v>218</v>
      </c>
      <c r="C70" s="68" t="s">
        <v>141</v>
      </c>
      <c r="D70" s="68" t="s">
        <v>149</v>
      </c>
      <c r="E70" s="68">
        <v>2</v>
      </c>
      <c r="F70" s="68">
        <v>3</v>
      </c>
      <c r="G70" s="68">
        <v>1</v>
      </c>
      <c r="H70" s="68">
        <v>5</v>
      </c>
      <c r="I70" s="68">
        <v>9526</v>
      </c>
      <c r="J70" s="68">
        <v>38</v>
      </c>
      <c r="K70" s="68" t="s">
        <v>143</v>
      </c>
      <c r="L70" s="69">
        <v>43314</v>
      </c>
      <c r="M70" s="68">
        <v>4</v>
      </c>
      <c r="N70" s="68">
        <v>2</v>
      </c>
      <c r="O70" s="68">
        <v>3</v>
      </c>
      <c r="P70" s="68" t="s">
        <v>160</v>
      </c>
    </row>
    <row r="71" spans="1:16">
      <c r="A71" s="68">
        <v>9</v>
      </c>
      <c r="B71" s="68" t="s">
        <v>218</v>
      </c>
      <c r="C71" s="68" t="s">
        <v>141</v>
      </c>
      <c r="D71" s="68" t="s">
        <v>149</v>
      </c>
      <c r="E71" s="68">
        <v>2</v>
      </c>
      <c r="F71" s="68">
        <v>3</v>
      </c>
      <c r="G71" s="68">
        <v>1</v>
      </c>
      <c r="H71" s="68">
        <v>5</v>
      </c>
      <c r="I71" s="68">
        <v>9526</v>
      </c>
      <c r="J71" s="68">
        <v>38</v>
      </c>
      <c r="K71" s="68" t="s">
        <v>143</v>
      </c>
      <c r="L71" s="69">
        <v>43314</v>
      </c>
      <c r="M71" s="68">
        <v>4</v>
      </c>
      <c r="N71" s="68">
        <v>2</v>
      </c>
      <c r="O71" s="68">
        <v>3</v>
      </c>
      <c r="P71" s="68" t="s">
        <v>160</v>
      </c>
    </row>
    <row r="72" spans="1:16">
      <c r="A72" s="68">
        <v>9</v>
      </c>
      <c r="B72" s="68" t="s">
        <v>218</v>
      </c>
      <c r="C72" s="68" t="s">
        <v>141</v>
      </c>
      <c r="D72" s="68" t="s">
        <v>149</v>
      </c>
      <c r="E72" s="68">
        <v>2</v>
      </c>
      <c r="F72" s="68">
        <v>3</v>
      </c>
      <c r="G72" s="68">
        <v>1</v>
      </c>
      <c r="H72" s="68">
        <v>5</v>
      </c>
      <c r="I72" s="68">
        <v>9526</v>
      </c>
      <c r="J72" s="68">
        <v>38</v>
      </c>
      <c r="K72" s="68" t="s">
        <v>143</v>
      </c>
      <c r="L72" s="69">
        <v>43314</v>
      </c>
      <c r="M72" s="68">
        <v>4</v>
      </c>
      <c r="N72" s="68">
        <v>2</v>
      </c>
      <c r="O72" s="68">
        <v>3</v>
      </c>
      <c r="P72" s="68" t="s">
        <v>160</v>
      </c>
    </row>
    <row r="73" spans="1:16">
      <c r="A73" s="68">
        <v>10</v>
      </c>
      <c r="B73" s="68" t="s">
        <v>219</v>
      </c>
      <c r="C73" s="68" t="s">
        <v>141</v>
      </c>
      <c r="D73" s="68" t="s">
        <v>147</v>
      </c>
      <c r="E73" s="68">
        <v>2</v>
      </c>
      <c r="F73" s="68">
        <v>2</v>
      </c>
      <c r="G73" s="68">
        <v>1</v>
      </c>
      <c r="H73" s="68">
        <v>3</v>
      </c>
      <c r="I73" s="68">
        <v>5237</v>
      </c>
      <c r="J73" s="68">
        <v>36</v>
      </c>
      <c r="K73" s="68" t="s">
        <v>143</v>
      </c>
      <c r="L73" s="69">
        <v>42584</v>
      </c>
      <c r="M73" s="68">
        <v>3</v>
      </c>
      <c r="N73" s="68">
        <v>3</v>
      </c>
      <c r="O73" s="68">
        <v>2</v>
      </c>
      <c r="P73" s="68" t="s">
        <v>160</v>
      </c>
    </row>
    <row r="74" spans="1:16">
      <c r="A74" s="68">
        <v>11</v>
      </c>
      <c r="B74" s="68" t="s">
        <v>220</v>
      </c>
      <c r="C74" s="68" t="s">
        <v>117</v>
      </c>
      <c r="D74" s="68" t="s">
        <v>147</v>
      </c>
      <c r="E74" s="68">
        <v>2</v>
      </c>
      <c r="F74" s="68">
        <v>1</v>
      </c>
      <c r="G74" s="68">
        <v>1</v>
      </c>
      <c r="H74" s="68">
        <v>5</v>
      </c>
      <c r="I74" s="68">
        <v>2426</v>
      </c>
      <c r="J74" s="68">
        <v>30</v>
      </c>
      <c r="K74" s="68" t="s">
        <v>143</v>
      </c>
      <c r="L74" s="69">
        <v>42615</v>
      </c>
      <c r="M74" s="68">
        <v>1</v>
      </c>
      <c r="N74" s="68">
        <v>5</v>
      </c>
      <c r="O74" s="68">
        <v>3</v>
      </c>
      <c r="P74" s="68" t="s">
        <v>160</v>
      </c>
    </row>
    <row r="75" spans="1:16">
      <c r="A75" s="68">
        <v>12</v>
      </c>
      <c r="B75" s="68" t="s">
        <v>221</v>
      </c>
      <c r="C75" s="68" t="s">
        <v>117</v>
      </c>
      <c r="D75" s="68" t="s">
        <v>149</v>
      </c>
      <c r="E75" s="68">
        <v>2</v>
      </c>
      <c r="F75" s="68">
        <v>2</v>
      </c>
      <c r="G75" s="68">
        <v>1</v>
      </c>
      <c r="H75" s="68">
        <v>3</v>
      </c>
      <c r="I75" s="68">
        <v>4193</v>
      </c>
      <c r="J75" s="68">
        <v>29</v>
      </c>
      <c r="K75" s="68" t="s">
        <v>143</v>
      </c>
      <c r="L75" s="69">
        <v>42645</v>
      </c>
      <c r="M75" s="68">
        <v>4</v>
      </c>
      <c r="N75" s="68">
        <v>3</v>
      </c>
      <c r="O75" s="68">
        <v>3</v>
      </c>
      <c r="P75" s="68" t="s">
        <v>160</v>
      </c>
    </row>
    <row r="76" spans="1:16">
      <c r="A76" s="68">
        <v>13</v>
      </c>
      <c r="B76" s="68" t="s">
        <v>222</v>
      </c>
      <c r="C76" s="68" t="s">
        <v>141</v>
      </c>
      <c r="D76" s="68" t="s">
        <v>142</v>
      </c>
      <c r="E76" s="68">
        <v>2</v>
      </c>
      <c r="F76" s="68">
        <v>1</v>
      </c>
      <c r="G76" s="68">
        <v>1</v>
      </c>
      <c r="H76" s="68">
        <v>3</v>
      </c>
      <c r="I76" s="68">
        <v>2911</v>
      </c>
      <c r="J76" s="68">
        <v>31</v>
      </c>
      <c r="K76" s="68" t="s">
        <v>143</v>
      </c>
      <c r="L76" s="69">
        <v>42676</v>
      </c>
      <c r="M76" s="68">
        <v>1</v>
      </c>
      <c r="N76" s="68">
        <v>1</v>
      </c>
      <c r="O76" s="68">
        <v>2</v>
      </c>
      <c r="P76" s="68" t="s">
        <v>160</v>
      </c>
    </row>
    <row r="77" spans="1:16">
      <c r="A77" s="68">
        <v>14</v>
      </c>
      <c r="B77" s="68" t="s">
        <v>223</v>
      </c>
      <c r="C77" s="68" t="s">
        <v>141</v>
      </c>
      <c r="D77" s="68" t="s">
        <v>142</v>
      </c>
      <c r="E77" s="68">
        <v>2</v>
      </c>
      <c r="F77" s="68">
        <v>1</v>
      </c>
      <c r="G77" s="68">
        <v>1</v>
      </c>
      <c r="H77" s="68">
        <v>5</v>
      </c>
      <c r="I77" s="68">
        <v>2661</v>
      </c>
      <c r="J77" s="68">
        <v>34</v>
      </c>
      <c r="K77" s="68" t="s">
        <v>143</v>
      </c>
      <c r="L77" s="69">
        <v>42706</v>
      </c>
      <c r="M77" s="68">
        <v>2</v>
      </c>
      <c r="N77" s="68">
        <v>2</v>
      </c>
      <c r="O77" s="68">
        <v>3</v>
      </c>
      <c r="P77" s="68" t="s">
        <v>160</v>
      </c>
    </row>
    <row r="78" spans="1:16">
      <c r="A78" s="68">
        <v>15</v>
      </c>
      <c r="B78" s="68" t="s">
        <v>224</v>
      </c>
      <c r="C78" s="68" t="s">
        <v>117</v>
      </c>
      <c r="D78" s="68" t="s">
        <v>149</v>
      </c>
      <c r="E78" s="68">
        <v>2</v>
      </c>
      <c r="F78" s="68">
        <v>1</v>
      </c>
      <c r="G78" s="68">
        <v>1</v>
      </c>
      <c r="H78" s="68">
        <v>3</v>
      </c>
      <c r="I78" s="68">
        <v>2028</v>
      </c>
      <c r="J78" s="68">
        <v>28</v>
      </c>
      <c r="K78" s="68" t="s">
        <v>143</v>
      </c>
      <c r="L78" s="69">
        <v>42645</v>
      </c>
      <c r="M78" s="68">
        <v>3</v>
      </c>
      <c r="N78" s="68">
        <v>4</v>
      </c>
      <c r="O78" s="68">
        <v>3</v>
      </c>
      <c r="P78" s="68" t="s">
        <v>160</v>
      </c>
    </row>
    <row r="79" spans="1:16">
      <c r="A79" s="68">
        <v>16</v>
      </c>
      <c r="B79" s="68" t="s">
        <v>225</v>
      </c>
      <c r="C79" s="68" t="s">
        <v>141</v>
      </c>
      <c r="D79" s="68" t="s">
        <v>142</v>
      </c>
      <c r="E79" s="68">
        <v>2</v>
      </c>
      <c r="F79" s="68">
        <v>3</v>
      </c>
      <c r="G79" s="68">
        <v>1</v>
      </c>
      <c r="H79" s="68">
        <v>1</v>
      </c>
      <c r="I79" s="68">
        <v>9980</v>
      </c>
      <c r="J79" s="68">
        <v>29</v>
      </c>
      <c r="K79" s="68" t="s">
        <v>143</v>
      </c>
      <c r="L79" s="69">
        <v>42645</v>
      </c>
      <c r="M79" s="68">
        <v>2</v>
      </c>
      <c r="N79" s="68">
        <v>1</v>
      </c>
      <c r="O79" s="68">
        <v>3</v>
      </c>
      <c r="P79" s="68" t="s">
        <v>160</v>
      </c>
    </row>
    <row r="80" spans="1:16">
      <c r="A80" s="68">
        <v>17</v>
      </c>
      <c r="B80" s="68" t="s">
        <v>226</v>
      </c>
      <c r="C80" s="68" t="s">
        <v>117</v>
      </c>
      <c r="D80" s="68" t="s">
        <v>142</v>
      </c>
      <c r="E80" s="68">
        <v>2</v>
      </c>
      <c r="F80" s="68">
        <v>1</v>
      </c>
      <c r="G80" s="68">
        <v>1</v>
      </c>
      <c r="H80" s="68">
        <v>2</v>
      </c>
      <c r="I80" s="68">
        <v>3298</v>
      </c>
      <c r="J80" s="68">
        <v>32</v>
      </c>
      <c r="K80" s="68" t="s">
        <v>143</v>
      </c>
      <c r="L80" s="69">
        <v>42645</v>
      </c>
      <c r="M80" s="68">
        <v>1</v>
      </c>
      <c r="N80" s="68">
        <v>5</v>
      </c>
      <c r="O80" s="68">
        <v>2</v>
      </c>
      <c r="P80" s="68" t="s">
        <v>160</v>
      </c>
    </row>
    <row r="81" spans="1:16">
      <c r="A81" s="68">
        <v>18</v>
      </c>
      <c r="B81" s="68" t="s">
        <v>227</v>
      </c>
      <c r="C81" s="68" t="s">
        <v>141</v>
      </c>
      <c r="D81" s="68" t="s">
        <v>142</v>
      </c>
      <c r="E81" s="68">
        <v>2</v>
      </c>
      <c r="F81" s="68">
        <v>1</v>
      </c>
      <c r="G81" s="68">
        <v>1</v>
      </c>
      <c r="H81" s="68">
        <v>4</v>
      </c>
      <c r="I81" s="68">
        <v>2935</v>
      </c>
      <c r="J81" s="68">
        <v>22</v>
      </c>
      <c r="K81" s="68" t="s">
        <v>143</v>
      </c>
      <c r="L81" s="69">
        <v>42645</v>
      </c>
      <c r="M81" s="68">
        <v>4</v>
      </c>
      <c r="N81" s="68">
        <v>2</v>
      </c>
      <c r="O81" s="68">
        <v>2</v>
      </c>
      <c r="P81" s="68" t="s">
        <v>160</v>
      </c>
    </row>
    <row r="82" spans="1:16">
      <c r="A82" s="68">
        <v>1</v>
      </c>
      <c r="B82" s="68" t="s">
        <v>228</v>
      </c>
      <c r="C82" s="68" t="s">
        <v>141</v>
      </c>
      <c r="D82" s="68" t="s">
        <v>149</v>
      </c>
      <c r="E82" s="68">
        <v>3</v>
      </c>
      <c r="F82" s="68">
        <v>2</v>
      </c>
      <c r="G82" s="68">
        <v>1</v>
      </c>
      <c r="H82" s="68">
        <v>4</v>
      </c>
      <c r="I82" s="68">
        <v>5993</v>
      </c>
      <c r="J82" s="68">
        <v>41</v>
      </c>
      <c r="K82" s="68" t="s">
        <v>143</v>
      </c>
      <c r="L82" s="69">
        <v>42370</v>
      </c>
      <c r="M82" s="68">
        <v>5</v>
      </c>
      <c r="N82" s="68">
        <v>0</v>
      </c>
      <c r="O82" s="68">
        <v>1</v>
      </c>
      <c r="P82" s="68" t="s">
        <v>153</v>
      </c>
    </row>
    <row r="83" spans="1:16">
      <c r="A83" s="68">
        <v>19</v>
      </c>
      <c r="B83" s="68" t="s">
        <v>230</v>
      </c>
      <c r="C83" s="68" t="s">
        <v>141</v>
      </c>
      <c r="D83" s="68" t="s">
        <v>147</v>
      </c>
      <c r="E83" s="68">
        <v>3</v>
      </c>
      <c r="F83" s="68">
        <v>4</v>
      </c>
      <c r="G83" s="68">
        <v>1</v>
      </c>
      <c r="H83" s="68">
        <v>4</v>
      </c>
      <c r="I83" s="68">
        <v>15427</v>
      </c>
      <c r="J83" s="68">
        <v>53</v>
      </c>
      <c r="K83" s="68" t="s">
        <v>143</v>
      </c>
      <c r="L83" s="69">
        <v>42645</v>
      </c>
      <c r="M83" s="68">
        <v>1</v>
      </c>
      <c r="N83" s="68">
        <v>3</v>
      </c>
      <c r="O83" s="68">
        <v>3</v>
      </c>
      <c r="P83" s="68" t="s">
        <v>160</v>
      </c>
    </row>
    <row r="84" spans="1:16">
      <c r="A84" s="68">
        <v>22</v>
      </c>
      <c r="B84" s="68" t="s">
        <v>231</v>
      </c>
      <c r="C84" s="68" t="s">
        <v>117</v>
      </c>
      <c r="D84" s="68" t="s">
        <v>149</v>
      </c>
      <c r="E84" s="68">
        <v>3</v>
      </c>
      <c r="F84" s="68">
        <v>1</v>
      </c>
      <c r="G84" s="68">
        <v>1</v>
      </c>
      <c r="H84" s="68">
        <v>1</v>
      </c>
      <c r="I84" s="68">
        <v>3407</v>
      </c>
      <c r="J84" s="68">
        <v>36</v>
      </c>
      <c r="K84" s="68" t="s">
        <v>143</v>
      </c>
      <c r="L84" s="69">
        <v>42645</v>
      </c>
      <c r="M84" s="68">
        <v>3</v>
      </c>
      <c r="N84" s="68">
        <v>4</v>
      </c>
      <c r="O84" s="68">
        <v>3</v>
      </c>
      <c r="P84" s="68" t="s">
        <v>153</v>
      </c>
    </row>
    <row r="85" spans="1:16">
      <c r="A85" s="68">
        <v>28</v>
      </c>
      <c r="B85" s="68" t="s">
        <v>232</v>
      </c>
      <c r="C85" s="68" t="s">
        <v>141</v>
      </c>
      <c r="D85" s="68" t="s">
        <v>147</v>
      </c>
      <c r="E85" s="68">
        <v>3</v>
      </c>
      <c r="F85" s="68">
        <v>2</v>
      </c>
      <c r="G85" s="68">
        <v>1</v>
      </c>
      <c r="H85" s="68">
        <v>2</v>
      </c>
      <c r="I85" s="68">
        <v>6825</v>
      </c>
      <c r="J85" s="68">
        <v>42</v>
      </c>
      <c r="K85" s="68" t="s">
        <v>143</v>
      </c>
      <c r="L85" s="69">
        <v>42645</v>
      </c>
      <c r="M85" s="68">
        <v>3</v>
      </c>
      <c r="N85" s="68">
        <v>2</v>
      </c>
      <c r="O85" s="68">
        <v>3</v>
      </c>
      <c r="P85" s="68" t="s">
        <v>153</v>
      </c>
    </row>
    <row r="86" spans="1:16">
      <c r="A86" s="68">
        <v>30</v>
      </c>
      <c r="B86" s="68" t="s">
        <v>233</v>
      </c>
      <c r="C86" s="68" t="s">
        <v>141</v>
      </c>
      <c r="D86" s="68" t="s">
        <v>149</v>
      </c>
      <c r="E86" s="68">
        <v>3</v>
      </c>
      <c r="F86" s="68">
        <v>5</v>
      </c>
      <c r="G86" s="68">
        <v>1</v>
      </c>
      <c r="H86" s="68">
        <v>1</v>
      </c>
      <c r="I86" s="68">
        <v>18947</v>
      </c>
      <c r="J86" s="68">
        <v>46</v>
      </c>
      <c r="K86" s="68" t="s">
        <v>143</v>
      </c>
      <c r="L86" s="69">
        <v>42645</v>
      </c>
      <c r="M86" s="68">
        <v>2</v>
      </c>
      <c r="N86" s="68">
        <v>2</v>
      </c>
      <c r="O86" s="68">
        <v>2</v>
      </c>
      <c r="P86" s="68" t="s">
        <v>153</v>
      </c>
    </row>
    <row r="87" spans="1:16">
      <c r="A87" s="68">
        <v>34</v>
      </c>
      <c r="B87" s="68" t="s">
        <v>234</v>
      </c>
      <c r="C87" s="68" t="s">
        <v>117</v>
      </c>
      <c r="D87" s="68" t="s">
        <v>147</v>
      </c>
      <c r="E87" s="68">
        <v>3</v>
      </c>
      <c r="F87" s="68">
        <v>2</v>
      </c>
      <c r="G87" s="68">
        <v>1</v>
      </c>
      <c r="H87" s="68">
        <v>4</v>
      </c>
      <c r="I87" s="68">
        <v>2086</v>
      </c>
      <c r="J87" s="68">
        <v>39</v>
      </c>
      <c r="K87" s="68" t="s">
        <v>143</v>
      </c>
      <c r="L87" s="69">
        <v>42645</v>
      </c>
      <c r="M87" s="68">
        <v>5</v>
      </c>
      <c r="N87" s="68">
        <v>6</v>
      </c>
      <c r="O87" s="68">
        <v>4</v>
      </c>
      <c r="P87" s="68" t="s">
        <v>153</v>
      </c>
    </row>
    <row r="88" spans="1:16">
      <c r="A88" s="68">
        <v>37</v>
      </c>
      <c r="B88" s="68" t="s">
        <v>235</v>
      </c>
      <c r="C88" s="68" t="s">
        <v>117</v>
      </c>
      <c r="D88" s="68" t="s">
        <v>147</v>
      </c>
      <c r="E88" s="68">
        <v>3</v>
      </c>
      <c r="F88" s="68">
        <v>1</v>
      </c>
      <c r="G88" s="68">
        <v>1</v>
      </c>
      <c r="H88" s="68">
        <v>3</v>
      </c>
      <c r="I88" s="68">
        <v>2683</v>
      </c>
      <c r="J88" s="68">
        <v>50</v>
      </c>
      <c r="K88" s="68" t="s">
        <v>143</v>
      </c>
      <c r="L88" s="69">
        <v>42645</v>
      </c>
      <c r="M88" s="68">
        <v>5</v>
      </c>
      <c r="N88" s="68">
        <v>2</v>
      </c>
      <c r="O88" s="68">
        <v>3</v>
      </c>
      <c r="P88" s="68" t="s">
        <v>153</v>
      </c>
    </row>
    <row r="89" spans="1:16">
      <c r="A89" s="68">
        <v>38</v>
      </c>
      <c r="B89" s="68" t="s">
        <v>236</v>
      </c>
      <c r="C89" s="68" t="s">
        <v>117</v>
      </c>
      <c r="D89" s="68" t="s">
        <v>147</v>
      </c>
      <c r="E89" s="68">
        <v>3</v>
      </c>
      <c r="F89" s="68">
        <v>1</v>
      </c>
      <c r="G89" s="68">
        <v>1</v>
      </c>
      <c r="H89" s="68">
        <v>4</v>
      </c>
      <c r="I89" s="68">
        <v>2014</v>
      </c>
      <c r="J89" s="68">
        <v>35</v>
      </c>
      <c r="K89" s="68" t="s">
        <v>143</v>
      </c>
      <c r="L89" s="69">
        <v>42645</v>
      </c>
      <c r="M89" s="68">
        <v>4</v>
      </c>
      <c r="N89" s="68">
        <v>3</v>
      </c>
      <c r="O89" s="68">
        <v>3</v>
      </c>
      <c r="P89" s="68" t="s">
        <v>153</v>
      </c>
    </row>
    <row r="90" spans="1:16">
      <c r="A90" s="68">
        <v>40</v>
      </c>
      <c r="B90" s="68" t="s">
        <v>237</v>
      </c>
      <c r="C90" s="68" t="s">
        <v>117</v>
      </c>
      <c r="D90" s="68" t="s">
        <v>147</v>
      </c>
      <c r="E90" s="68">
        <v>3</v>
      </c>
      <c r="F90" s="68">
        <v>2</v>
      </c>
      <c r="G90" s="68">
        <v>1</v>
      </c>
      <c r="H90" s="68">
        <v>1</v>
      </c>
      <c r="I90" s="68">
        <v>5376</v>
      </c>
      <c r="J90" s="68">
        <v>33</v>
      </c>
      <c r="K90" s="68" t="s">
        <v>143</v>
      </c>
      <c r="L90" s="69">
        <v>42645</v>
      </c>
      <c r="M90" s="68">
        <v>3</v>
      </c>
      <c r="N90" s="68">
        <v>3</v>
      </c>
      <c r="O90" s="68">
        <v>3</v>
      </c>
      <c r="P90" s="68" t="s">
        <v>153</v>
      </c>
    </row>
    <row r="91" spans="1:16">
      <c r="A91" s="68">
        <v>44</v>
      </c>
      <c r="B91" s="68" t="s">
        <v>238</v>
      </c>
      <c r="C91" s="68" t="s">
        <v>141</v>
      </c>
      <c r="D91" s="68" t="s">
        <v>149</v>
      </c>
      <c r="E91" s="68">
        <v>3</v>
      </c>
      <c r="F91" s="68">
        <v>3</v>
      </c>
      <c r="G91" s="68">
        <v>1</v>
      </c>
      <c r="H91" s="68">
        <v>3</v>
      </c>
      <c r="I91" s="68">
        <v>8726</v>
      </c>
      <c r="J91" s="68">
        <v>27</v>
      </c>
      <c r="K91" s="68" t="s">
        <v>143</v>
      </c>
      <c r="L91" s="69">
        <v>42645</v>
      </c>
      <c r="M91" s="68">
        <v>4</v>
      </c>
      <c r="N91" s="68">
        <v>0</v>
      </c>
      <c r="O91" s="68">
        <v>3</v>
      </c>
      <c r="P91" s="68" t="s">
        <v>153</v>
      </c>
    </row>
    <row r="92" spans="1:16">
      <c r="A92" s="68">
        <v>47</v>
      </c>
      <c r="B92" s="68" t="s">
        <v>239</v>
      </c>
      <c r="C92" s="68" t="s">
        <v>141</v>
      </c>
      <c r="D92" s="68" t="s">
        <v>149</v>
      </c>
      <c r="E92" s="68">
        <v>3</v>
      </c>
      <c r="F92" s="68">
        <v>2</v>
      </c>
      <c r="G92" s="68">
        <v>1</v>
      </c>
      <c r="H92" s="68">
        <v>3</v>
      </c>
      <c r="I92" s="68">
        <v>4568</v>
      </c>
      <c r="J92" s="68">
        <v>34</v>
      </c>
      <c r="K92" s="68" t="s">
        <v>143</v>
      </c>
      <c r="L92" s="69">
        <v>42645</v>
      </c>
      <c r="M92" s="68">
        <v>2</v>
      </c>
      <c r="N92" s="68">
        <v>2</v>
      </c>
      <c r="O92" s="68">
        <v>3</v>
      </c>
      <c r="P92" s="68" t="s">
        <v>153</v>
      </c>
    </row>
    <row r="93" spans="1:16">
      <c r="A93" s="68">
        <v>49</v>
      </c>
      <c r="B93" s="68" t="s">
        <v>240</v>
      </c>
      <c r="C93" s="68" t="s">
        <v>141</v>
      </c>
      <c r="D93" s="68" t="s">
        <v>149</v>
      </c>
      <c r="E93" s="68">
        <v>3</v>
      </c>
      <c r="F93" s="68">
        <v>2</v>
      </c>
      <c r="G93" s="68">
        <v>1</v>
      </c>
      <c r="H93" s="68">
        <v>5</v>
      </c>
      <c r="I93" s="68">
        <v>5772</v>
      </c>
      <c r="J93" s="68">
        <v>46</v>
      </c>
      <c r="K93" s="68" t="s">
        <v>143</v>
      </c>
      <c r="L93" s="69">
        <v>42645</v>
      </c>
      <c r="M93" s="68">
        <v>1</v>
      </c>
      <c r="N93" s="68">
        <v>4</v>
      </c>
      <c r="O93" s="68">
        <v>3</v>
      </c>
      <c r="P93" s="68" t="s">
        <v>153</v>
      </c>
    </row>
    <row r="94" spans="1:16">
      <c r="A94" s="68">
        <v>53</v>
      </c>
      <c r="B94" s="68" t="s">
        <v>241</v>
      </c>
      <c r="C94" s="68" t="s">
        <v>141</v>
      </c>
      <c r="D94" s="68" t="s">
        <v>142</v>
      </c>
      <c r="E94" s="68">
        <v>3</v>
      </c>
      <c r="F94" s="68">
        <v>2</v>
      </c>
      <c r="G94" s="68">
        <v>1</v>
      </c>
      <c r="H94" s="68">
        <v>1</v>
      </c>
      <c r="I94" s="68">
        <v>5454</v>
      </c>
      <c r="J94" s="68">
        <v>44</v>
      </c>
      <c r="K94" s="68" t="s">
        <v>143</v>
      </c>
      <c r="L94" s="69">
        <v>42645</v>
      </c>
      <c r="M94" s="68">
        <v>2</v>
      </c>
      <c r="N94" s="68">
        <v>2</v>
      </c>
      <c r="O94" s="68">
        <v>2</v>
      </c>
      <c r="P94" s="68" t="s">
        <v>153</v>
      </c>
    </row>
    <row r="95" spans="1:16">
      <c r="A95" s="68">
        <v>55</v>
      </c>
      <c r="B95" s="68" t="s">
        <v>242</v>
      </c>
      <c r="C95" s="68" t="s">
        <v>117</v>
      </c>
      <c r="D95" s="68" t="s">
        <v>147</v>
      </c>
      <c r="E95" s="68">
        <v>3</v>
      </c>
      <c r="F95" s="68">
        <v>2</v>
      </c>
      <c r="G95" s="68">
        <v>1</v>
      </c>
      <c r="H95" s="68">
        <v>4</v>
      </c>
      <c r="I95" s="68">
        <v>4157</v>
      </c>
      <c r="J95" s="68">
        <v>26</v>
      </c>
      <c r="K95" s="68" t="s">
        <v>143</v>
      </c>
      <c r="L95" s="69">
        <v>42645</v>
      </c>
      <c r="M95" s="68">
        <v>3</v>
      </c>
      <c r="N95" s="68">
        <v>2</v>
      </c>
      <c r="O95" s="68">
        <v>2</v>
      </c>
      <c r="P95" s="68" t="s">
        <v>153</v>
      </c>
    </row>
    <row r="96" spans="1:16">
      <c r="A96" s="68">
        <v>57</v>
      </c>
      <c r="B96" s="68" t="s">
        <v>243</v>
      </c>
      <c r="C96" s="68" t="s">
        <v>117</v>
      </c>
      <c r="D96" s="68" t="s">
        <v>147</v>
      </c>
      <c r="E96" s="68">
        <v>3</v>
      </c>
      <c r="F96" s="68">
        <v>3</v>
      </c>
      <c r="G96" s="68">
        <v>1</v>
      </c>
      <c r="H96" s="68">
        <v>1</v>
      </c>
      <c r="I96" s="68">
        <v>9069</v>
      </c>
      <c r="J96" s="68">
        <v>35</v>
      </c>
      <c r="K96" s="68" t="s">
        <v>143</v>
      </c>
      <c r="L96" s="69">
        <v>42645</v>
      </c>
      <c r="M96" s="68">
        <v>2</v>
      </c>
      <c r="N96" s="68">
        <v>3</v>
      </c>
      <c r="O96" s="68">
        <v>2</v>
      </c>
      <c r="P96" s="68" t="s">
        <v>153</v>
      </c>
    </row>
    <row r="97" spans="1:16">
      <c r="A97" s="68">
        <v>64</v>
      </c>
      <c r="B97" s="68" t="s">
        <v>244</v>
      </c>
      <c r="C97" s="68" t="s">
        <v>141</v>
      </c>
      <c r="D97" s="68" t="s">
        <v>149</v>
      </c>
      <c r="E97" s="68">
        <v>3</v>
      </c>
      <c r="F97" s="68">
        <v>3</v>
      </c>
      <c r="G97" s="68">
        <v>1</v>
      </c>
      <c r="H97" s="68">
        <v>1</v>
      </c>
      <c r="I97" s="68">
        <v>7637</v>
      </c>
      <c r="J97" s="68">
        <v>59</v>
      </c>
      <c r="K97" s="68" t="s">
        <v>143</v>
      </c>
      <c r="L97" s="69">
        <v>42645</v>
      </c>
      <c r="M97" s="68">
        <v>1</v>
      </c>
      <c r="N97" s="68">
        <v>3</v>
      </c>
      <c r="O97" s="68">
        <v>2</v>
      </c>
      <c r="P97" s="68" t="s">
        <v>153</v>
      </c>
    </row>
    <row r="98" spans="1:16">
      <c r="A98" s="68">
        <v>71</v>
      </c>
      <c r="B98" s="68" t="s">
        <v>245</v>
      </c>
      <c r="C98" s="68" t="s">
        <v>141</v>
      </c>
      <c r="D98" s="68" t="s">
        <v>149</v>
      </c>
      <c r="E98" s="68">
        <v>3</v>
      </c>
      <c r="F98" s="68">
        <v>2</v>
      </c>
      <c r="G98" s="68">
        <v>1</v>
      </c>
      <c r="H98" s="68">
        <v>3</v>
      </c>
      <c r="I98" s="68">
        <v>5473</v>
      </c>
      <c r="J98" s="68">
        <v>59</v>
      </c>
      <c r="K98" s="68" t="s">
        <v>143</v>
      </c>
      <c r="L98" s="69">
        <v>42645</v>
      </c>
      <c r="M98" s="68">
        <v>1</v>
      </c>
      <c r="N98" s="68">
        <v>2</v>
      </c>
      <c r="O98" s="68">
        <v>2</v>
      </c>
      <c r="P98" s="68" t="s">
        <v>144</v>
      </c>
    </row>
    <row r="99" spans="1:16">
      <c r="A99" s="68">
        <v>77</v>
      </c>
      <c r="B99" s="68" t="s">
        <v>246</v>
      </c>
      <c r="C99" s="68" t="s">
        <v>141</v>
      </c>
      <c r="D99" s="68" t="s">
        <v>149</v>
      </c>
      <c r="E99" s="68">
        <v>3</v>
      </c>
      <c r="F99" s="68">
        <v>2</v>
      </c>
      <c r="G99" s="68">
        <v>1</v>
      </c>
      <c r="H99" s="68">
        <v>1</v>
      </c>
      <c r="I99" s="68">
        <v>4312</v>
      </c>
      <c r="J99" s="68">
        <v>35</v>
      </c>
      <c r="K99" s="68" t="s">
        <v>143</v>
      </c>
      <c r="L99" s="69">
        <v>42645</v>
      </c>
      <c r="M99" s="68">
        <v>3</v>
      </c>
      <c r="N99" s="68">
        <v>2</v>
      </c>
      <c r="O99" s="68">
        <v>3</v>
      </c>
      <c r="P99" s="68" t="s">
        <v>144</v>
      </c>
    </row>
    <row r="100" spans="1:16">
      <c r="A100" s="68">
        <v>83</v>
      </c>
      <c r="B100" s="68" t="s">
        <v>247</v>
      </c>
      <c r="C100" s="68" t="s">
        <v>141</v>
      </c>
      <c r="D100" s="68" t="s">
        <v>147</v>
      </c>
      <c r="E100" s="68">
        <v>3</v>
      </c>
      <c r="F100" s="68">
        <v>3</v>
      </c>
      <c r="G100" s="68">
        <v>1</v>
      </c>
      <c r="H100" s="68">
        <v>4</v>
      </c>
      <c r="I100" s="68">
        <v>10239</v>
      </c>
      <c r="J100" s="68">
        <v>55</v>
      </c>
      <c r="K100" s="68" t="s">
        <v>143</v>
      </c>
      <c r="L100" s="69">
        <v>42645</v>
      </c>
      <c r="M100" s="68">
        <v>1</v>
      </c>
      <c r="N100" s="68">
        <v>4</v>
      </c>
      <c r="O100" s="68">
        <v>3</v>
      </c>
      <c r="P100" s="68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074-C89E-40FC-9AD1-F7610F9702AB}">
  <dimension ref="B2:C7"/>
  <sheetViews>
    <sheetView workbookViewId="0">
      <selection activeCell="C12" sqref="C12"/>
    </sheetView>
  </sheetViews>
  <sheetFormatPr defaultRowHeight="15"/>
  <cols>
    <col min="2" max="2" width="16.85546875" customWidth="1"/>
    <col min="3" max="3" width="21.5703125" customWidth="1"/>
  </cols>
  <sheetData>
    <row r="2" spans="2:3">
      <c r="B2" s="26" t="s">
        <v>128</v>
      </c>
      <c r="C2" s="26" t="s">
        <v>248</v>
      </c>
    </row>
    <row r="3" spans="2:3">
      <c r="B3" s="26">
        <v>1</v>
      </c>
      <c r="C3" s="26" t="s">
        <v>72</v>
      </c>
    </row>
    <row r="4" spans="2:3">
      <c r="B4" s="26">
        <v>2</v>
      </c>
      <c r="C4" s="26" t="s">
        <v>214</v>
      </c>
    </row>
    <row r="5" spans="2:3">
      <c r="B5" s="26">
        <v>3</v>
      </c>
      <c r="C5" s="26" t="s">
        <v>229</v>
      </c>
    </row>
    <row r="6" spans="2:3">
      <c r="B6" s="26">
        <v>4</v>
      </c>
      <c r="C6" s="26" t="s">
        <v>249</v>
      </c>
    </row>
    <row r="7" spans="2:3">
      <c r="B7" s="26">
        <v>5</v>
      </c>
      <c r="C7" s="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 </vt:lpstr>
      <vt:lpstr>Vlookup</vt:lpstr>
      <vt:lpstr>Hlookup</vt:lpstr>
      <vt:lpstr>Xlookup</vt:lpstr>
      <vt:lpstr>Index + Match</vt:lpstr>
      <vt:lpstr>Example</vt:lpstr>
      <vt:lpstr>Vlookup with Sum</vt:lpstr>
      <vt:lpstr>HR Data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2026-07-23T07:49:16Z</dcterms:created>
  <dcterms:modified xsi:type="dcterms:W3CDTF">2026-07-28T11:46:49Z</dcterms:modified>
</cp:coreProperties>
</file>