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 firstSheet="8" activeTab="9"/>
  </bookViews>
  <sheets>
    <sheet name="INTRODUCTION" sheetId="10" r:id="rId1"/>
    <sheet name="Basic Function" sheetId="11" r:id="rId2"/>
    <sheet name="Fill Series" sheetId="12" r:id="rId3"/>
    <sheet name="Flash Fill" sheetId="13" r:id="rId4"/>
    <sheet name="Name Range and Cell Range" sheetId="6" r:id="rId5"/>
    <sheet name="Cell Refernce" sheetId="1" r:id="rId6"/>
    <sheet name="If &amp; Nested If" sheetId="4" r:id="rId7"/>
    <sheet name="Logical Function " sheetId="5" r:id="rId8"/>
    <sheet name="Count &amp; Sum Function " sheetId="3" r:id="rId9"/>
    <sheet name="Lookup" sheetId="8" r:id="rId10"/>
    <sheet name="Data Validation " sheetId="2" r:id="rId11"/>
    <sheet name="Filter - Panes" sheetId="9" r:id="rId12"/>
    <sheet name="Text Function " sheetId="7" r:id="rId13"/>
    <sheet name="Macros1 " sheetId="14" r:id="rId14"/>
    <sheet name="Macros2" sheetId="15" r:id="rId15"/>
    <sheet name="Macro3" sheetId="16" r:id="rId16"/>
    <sheet name="Example1" sheetId="17" r:id="rId17"/>
  </sheets>
  <definedNames>
    <definedName name="_xlnm._FilterDatabase" localSheetId="11" hidden="1">'Filter - Panes'!$F$7:$M$27</definedName>
    <definedName name="num">'Name Range and Cell Range'!$J$7:$J$15</definedName>
    <definedName name="numbers">'Name Range and Cell Range'!#REF!</definedName>
    <definedName name="txt">'Name Range and Cell Range'!$L$7:$L$15</definedName>
  </definedNames>
  <calcPr calcId="144525"/>
</workbook>
</file>

<file path=xl/sharedStrings.xml><?xml version="1.0" encoding="utf-8"?>
<sst xmlns="http://schemas.openxmlformats.org/spreadsheetml/2006/main" count="1086" uniqueCount="480">
  <si>
    <t xml:space="preserve">INTRODUCTION TO EXCEL </t>
  </si>
  <si>
    <r>
      <rPr>
        <b/>
        <sz val="11"/>
        <color theme="1"/>
        <rFont val="Calibri"/>
        <charset val="134"/>
        <scheme val="minor"/>
      </rPr>
      <t>Microsoft Excel</t>
    </r>
    <r>
      <rPr>
        <sz val="11"/>
        <color theme="1"/>
        <rFont val="Calibri"/>
        <charset val="134"/>
        <scheme val="minor"/>
      </rPr>
      <t xml:space="preserve"> is a spreadsheet software developed by Microsoft.</t>
    </r>
  </si>
  <si>
    <r>
      <rPr>
        <sz val="11"/>
        <color theme="1"/>
        <rFont val="Calibri"/>
        <charset val="134"/>
        <scheme val="minor"/>
      </rPr>
      <t xml:space="preserve">It is used to </t>
    </r>
    <r>
      <rPr>
        <b/>
        <sz val="11"/>
        <color theme="1"/>
        <rFont val="Calibri"/>
        <charset val="134"/>
        <scheme val="minor"/>
      </rPr>
      <t>store, organize, calculate, and analyze data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</si>
  <si>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Excel works in the form of </t>
    </r>
    <r>
      <rPr>
        <b/>
        <sz val="11"/>
        <color theme="1"/>
        <rFont val="Calibri"/>
        <charset val="134"/>
        <scheme val="minor"/>
      </rPr>
      <t>rows and columns</t>
    </r>
    <r>
      <rPr>
        <sz val="11"/>
        <color theme="1"/>
        <rFont val="Calibri"/>
        <charset val="134"/>
        <scheme val="minor"/>
      </rPr>
      <t xml:space="preserve">, and their intersection is called a </t>
    </r>
    <r>
      <rPr>
        <b/>
        <sz val="11"/>
        <color theme="1"/>
        <rFont val="Calibri"/>
        <charset val="134"/>
        <scheme val="minor"/>
      </rPr>
      <t>cell</t>
    </r>
    <r>
      <rPr>
        <sz val="11"/>
        <color theme="1"/>
        <rFont val="Calibri"/>
        <charset val="134"/>
        <scheme val="minor"/>
      </rPr>
      <t>.</t>
    </r>
  </si>
  <si>
    <t>Why We Use Excel?</t>
  </si>
  <si>
    <r>
      <rPr>
        <sz val="11"/>
        <color theme="1"/>
        <rFont val="Calibri"/>
        <charset val="134"/>
        <scheme val="minor"/>
      </rPr>
      <t xml:space="preserve">To perform </t>
    </r>
    <r>
      <rPr>
        <b/>
        <sz val="11"/>
        <color theme="1"/>
        <rFont val="Calibri"/>
        <charset val="134"/>
        <scheme val="minor"/>
      </rPr>
      <t>calculations</t>
    </r>
    <r>
      <rPr>
        <sz val="11"/>
        <color theme="1"/>
        <rFont val="Calibri"/>
        <charset val="134"/>
        <scheme val="minor"/>
      </rPr>
      <t xml:space="preserve"> (like sum, average, percentage)</t>
    </r>
  </si>
  <si>
    <r>
      <rPr>
        <sz val="11"/>
        <color theme="1"/>
        <rFont val="Calibri"/>
        <charset val="134"/>
        <scheme val="minor"/>
      </rPr>
      <t xml:space="preserve">To create </t>
    </r>
    <r>
      <rPr>
        <b/>
        <sz val="11"/>
        <color theme="1"/>
        <rFont val="Calibri"/>
        <charset val="134"/>
        <scheme val="minor"/>
      </rPr>
      <t>tables</t>
    </r>
  </si>
  <si>
    <r>
      <rPr>
        <sz val="11"/>
        <color theme="1"/>
        <rFont val="Calibri"/>
        <charset val="134"/>
        <scheme val="minor"/>
      </rPr>
      <t xml:space="preserve">To make </t>
    </r>
    <r>
      <rPr>
        <b/>
        <sz val="11"/>
        <color theme="1"/>
        <rFont val="Calibri"/>
        <charset val="134"/>
        <scheme val="minor"/>
      </rPr>
      <t>charts and graphs</t>
    </r>
  </si>
  <si>
    <r>
      <rPr>
        <sz val="11"/>
        <color theme="1"/>
        <rFont val="Calibri"/>
        <charset val="134"/>
        <scheme val="minor"/>
      </rPr>
      <t xml:space="preserve">To manage </t>
    </r>
    <r>
      <rPr>
        <b/>
        <sz val="11"/>
        <color theme="1"/>
        <rFont val="Calibri"/>
        <charset val="134"/>
        <scheme val="minor"/>
      </rPr>
      <t>student, employee, or business data</t>
    </r>
  </si>
  <si>
    <t>To analyze large amounts of data easily</t>
  </si>
  <si>
    <t>Basic Parts of Excel</t>
  </si>
  <si>
    <r>
      <rPr>
        <b/>
        <sz val="11"/>
        <color theme="1"/>
        <rFont val="Calibri"/>
        <charset val="134"/>
        <scheme val="minor"/>
      </rPr>
      <t>Workbook</t>
    </r>
    <r>
      <rPr>
        <sz val="11"/>
        <color theme="1"/>
        <rFont val="Calibri"/>
        <charset val="134"/>
        <scheme val="minor"/>
      </rPr>
      <t xml:space="preserve"> – A file in Excel</t>
    </r>
  </si>
  <si>
    <r>
      <rPr>
        <b/>
        <sz val="11"/>
        <color theme="1"/>
        <rFont val="Calibri"/>
        <charset val="134"/>
        <scheme val="minor"/>
      </rPr>
      <t>Worksheet</t>
    </r>
    <r>
      <rPr>
        <sz val="11"/>
        <color theme="1"/>
        <rFont val="Calibri"/>
        <charset val="134"/>
        <scheme val="minor"/>
      </rPr>
      <t xml:space="preserve"> – A sheet inside a workbook</t>
    </r>
  </si>
  <si>
    <r>
      <rPr>
        <b/>
        <sz val="11"/>
        <color theme="1"/>
        <rFont val="Calibri"/>
        <charset val="134"/>
        <scheme val="minor"/>
      </rPr>
      <t>Row</t>
    </r>
    <r>
      <rPr>
        <sz val="11"/>
        <color theme="1"/>
        <rFont val="Calibri"/>
        <charset val="134"/>
        <scheme val="minor"/>
      </rPr>
      <t xml:space="preserve"> – Horizontal line (1, 2, 3…)</t>
    </r>
  </si>
  <si>
    <r>
      <rPr>
        <b/>
        <sz val="11"/>
        <color theme="1"/>
        <rFont val="Calibri"/>
        <charset val="134"/>
        <scheme val="minor"/>
      </rPr>
      <t>Column</t>
    </r>
    <r>
      <rPr>
        <sz val="11"/>
        <color theme="1"/>
        <rFont val="Calibri"/>
        <charset val="134"/>
        <scheme val="minor"/>
      </rPr>
      <t xml:space="preserve"> – Vertical line (A, B, C…)</t>
    </r>
  </si>
  <si>
    <r>
      <rPr>
        <b/>
        <sz val="11"/>
        <color theme="1"/>
        <rFont val="Calibri"/>
        <charset val="134"/>
        <scheme val="minor"/>
      </rPr>
      <t>Cell</t>
    </r>
    <r>
      <rPr>
        <sz val="11"/>
        <color theme="1"/>
        <rFont val="Calibri"/>
        <charset val="134"/>
        <scheme val="minor"/>
      </rPr>
      <t xml:space="preserve"> – Intersection of row and column (Example: A1)</t>
    </r>
  </si>
  <si>
    <t>Basic Function</t>
  </si>
  <si>
    <t>Student Name</t>
  </si>
  <si>
    <t>Maths</t>
  </si>
  <si>
    <t>English</t>
  </si>
  <si>
    <t>Science</t>
  </si>
  <si>
    <t xml:space="preserve">Total </t>
  </si>
  <si>
    <t>Average</t>
  </si>
  <si>
    <t>Max</t>
  </si>
  <si>
    <t>Min</t>
  </si>
  <si>
    <t>Aisha</t>
  </si>
  <si>
    <t>Rahul</t>
  </si>
  <si>
    <t>Sana</t>
  </si>
  <si>
    <t>Arjun</t>
  </si>
  <si>
    <t>Meera</t>
  </si>
  <si>
    <t>Function</t>
  </si>
  <si>
    <t>Formula</t>
  </si>
  <si>
    <t>Highest Maths Marks</t>
  </si>
  <si>
    <t>Lowest English Marks</t>
  </si>
  <si>
    <t>Total numbers</t>
  </si>
  <si>
    <t>Count of Students</t>
  </si>
  <si>
    <t xml:space="preserve">Create Table </t>
  </si>
  <si>
    <t>Crtl + T</t>
  </si>
  <si>
    <t>Fill Series</t>
  </si>
  <si>
    <t xml:space="preserve">Fill Series </t>
  </si>
  <si>
    <t xml:space="preserve">Same Number </t>
  </si>
  <si>
    <t>Different Number</t>
  </si>
  <si>
    <t>Weekdays</t>
  </si>
  <si>
    <t>Months</t>
  </si>
  <si>
    <t>Custom List</t>
  </si>
  <si>
    <t xml:space="preserve">Fill With Formatting </t>
  </si>
  <si>
    <t>Fill Without Formatting</t>
  </si>
  <si>
    <t>Drag same numbers</t>
  </si>
  <si>
    <t>Monday</t>
  </si>
  <si>
    <t>june</t>
  </si>
  <si>
    <t>python</t>
  </si>
  <si>
    <t>Sunday</t>
  </si>
  <si>
    <t xml:space="preserve">Drag different numbers </t>
  </si>
  <si>
    <t>Tuesday</t>
  </si>
  <si>
    <t>july</t>
  </si>
  <si>
    <t>powerbi</t>
  </si>
  <si>
    <t xml:space="preserve">Drag weekdays </t>
  </si>
  <si>
    <t>Wednesday</t>
  </si>
  <si>
    <t>august</t>
  </si>
  <si>
    <t>excel</t>
  </si>
  <si>
    <t xml:space="preserve">Drag months </t>
  </si>
  <si>
    <t>Thursday</t>
  </si>
  <si>
    <t>september</t>
  </si>
  <si>
    <t>sql</t>
  </si>
  <si>
    <t xml:space="preserve">Create custom list </t>
  </si>
  <si>
    <t>Friday</t>
  </si>
  <si>
    <t>october</t>
  </si>
  <si>
    <t xml:space="preserve">fill with formatting </t>
  </si>
  <si>
    <t>Saturday</t>
  </si>
  <si>
    <t>november</t>
  </si>
  <si>
    <t xml:space="preserve">fill without formatting </t>
  </si>
  <si>
    <t>december</t>
  </si>
  <si>
    <t>january</t>
  </si>
  <si>
    <t xml:space="preserve">Flash fill </t>
  </si>
  <si>
    <r>
      <rPr>
        <b/>
        <sz val="11"/>
        <color theme="1"/>
        <rFont val="Calibri"/>
        <charset val="134"/>
        <scheme val="minor"/>
      </rPr>
      <t>Flash Fill</t>
    </r>
    <r>
      <rPr>
        <sz val="11"/>
        <color theme="1"/>
        <rFont val="Calibri"/>
        <charset val="134"/>
        <scheme val="minor"/>
      </rPr>
      <t xml:space="preserve"> is a feature in Excel that </t>
    </r>
    <r>
      <rPr>
        <b/>
        <sz val="11"/>
        <color theme="1"/>
        <rFont val="Calibri"/>
        <charset val="134"/>
        <scheme val="minor"/>
      </rPr>
      <t>automatically fills data by recognizing a pattern</t>
    </r>
    <r>
      <rPr>
        <sz val="11"/>
        <color theme="1"/>
        <rFont val="Calibri"/>
        <charset val="134"/>
        <scheme val="minor"/>
      </rPr>
      <t>.</t>
    </r>
  </si>
  <si>
    <t>Shortcut Key</t>
  </si>
  <si>
    <t>Ctrl + E</t>
  </si>
  <si>
    <t xml:space="preserve">Product Code </t>
  </si>
  <si>
    <t>First 4 digits</t>
  </si>
  <si>
    <t>Last 3 digit</t>
  </si>
  <si>
    <t>Middle 3 digit</t>
  </si>
  <si>
    <t>1000-165-B100</t>
  </si>
  <si>
    <t>1001-540-C101</t>
  </si>
  <si>
    <t>1002-394-M102</t>
  </si>
  <si>
    <t>1003-307-Q103</t>
  </si>
  <si>
    <t>1004-848-S104</t>
  </si>
  <si>
    <t>1005-155-S105</t>
  </si>
  <si>
    <t>1006-552-T106</t>
  </si>
  <si>
    <t>1007-635-o107</t>
  </si>
  <si>
    <t>Cell Range</t>
  </si>
  <si>
    <t>Name Range</t>
  </si>
  <si>
    <r>
      <rPr>
        <sz val="11"/>
        <color theme="1"/>
        <rFont val="Calibri"/>
        <charset val="134"/>
        <scheme val="minor"/>
      </rPr>
      <t xml:space="preserve">A cell range is a </t>
    </r>
    <r>
      <rPr>
        <b/>
        <sz val="11"/>
        <color theme="1"/>
        <rFont val="Calibri"/>
        <charset val="134"/>
        <scheme val="minor"/>
      </rPr>
      <t>group of two or more cells selected together</t>
    </r>
    <r>
      <rPr>
        <sz val="11"/>
        <color theme="1"/>
        <rFont val="Calibri"/>
        <charset val="134"/>
        <scheme val="minor"/>
      </rPr>
      <t xml:space="preserve"> in a worksheet.</t>
    </r>
  </si>
  <si>
    <r>
      <rPr>
        <sz val="11"/>
        <color theme="1"/>
        <rFont val="Calibri"/>
        <charset val="134"/>
        <scheme val="minor"/>
      </rPr>
      <t xml:space="preserve"> when we </t>
    </r>
    <r>
      <rPr>
        <b/>
        <sz val="11"/>
        <color theme="1"/>
        <rFont val="Calibri"/>
        <charset val="134"/>
        <scheme val="minor"/>
      </rPr>
      <t>give a name to a cell or group of cells</t>
    </r>
    <r>
      <rPr>
        <sz val="11"/>
        <color theme="1"/>
        <rFont val="Calibri"/>
        <charset val="134"/>
        <scheme val="minor"/>
      </rPr>
      <t xml:space="preserve"> to use it easily in formulas.</t>
    </r>
  </si>
  <si>
    <r>
      <rPr>
        <sz val="11"/>
        <color theme="1"/>
        <rFont val="Calibri"/>
        <charset val="134"/>
        <scheme val="minor"/>
      </rPr>
      <t xml:space="preserve">Example: </t>
    </r>
    <r>
      <rPr>
        <sz val="10"/>
        <color theme="1"/>
        <rFont val="Arial Unicode MS"/>
        <charset val="134"/>
      </rPr>
      <t>A1:A5</t>
    </r>
  </si>
  <si>
    <r>
      <rPr>
        <sz val="11"/>
        <color theme="1"/>
        <rFont val="Calibri"/>
        <charset val="134"/>
        <scheme val="minor"/>
      </rPr>
      <t xml:space="preserve">Naming </t>
    </r>
    <r>
      <rPr>
        <sz val="10"/>
        <color theme="1"/>
        <rFont val="Arial Unicode MS"/>
        <charset val="134"/>
      </rPr>
      <t>A1:A5</t>
    </r>
    <r>
      <rPr>
        <sz val="11"/>
        <color theme="1"/>
        <rFont val="Calibri"/>
        <charset val="134"/>
        <scheme val="minor"/>
      </rPr>
      <t xml:space="preserve"> as numbers</t>
    </r>
  </si>
  <si>
    <t xml:space="preserve">Function </t>
  </si>
  <si>
    <t>Numbers</t>
  </si>
  <si>
    <t>Data</t>
  </si>
  <si>
    <t>Text</t>
  </si>
  <si>
    <t>Sum</t>
  </si>
  <si>
    <t>Small</t>
  </si>
  <si>
    <t>Large</t>
  </si>
  <si>
    <t>count</t>
  </si>
  <si>
    <t>counta</t>
  </si>
  <si>
    <t>countblank</t>
  </si>
  <si>
    <t xml:space="preserve">Refrence </t>
  </si>
  <si>
    <t>Relative Reference :A relative reference changes automatically when you copy the formula to another cell.</t>
  </si>
  <si>
    <t>A1 + B1</t>
  </si>
  <si>
    <t>Relative Refrence</t>
  </si>
  <si>
    <t>A (Student)</t>
  </si>
  <si>
    <t>B (Math)</t>
  </si>
  <si>
    <t>C (English)</t>
  </si>
  <si>
    <t>D (Total)</t>
  </si>
  <si>
    <t>Ali</t>
  </si>
  <si>
    <t>Sara</t>
  </si>
  <si>
    <t>John</t>
  </si>
  <si>
    <t xml:space="preserve"> Absolute reference : An absolute reference does NOT change when you copy the formula.
An absolute reference does NOT change when you copy the formula.</t>
  </si>
  <si>
    <r>
      <rPr>
        <sz val="11"/>
        <color theme="1"/>
        <rFont val="Calibri"/>
        <charset val="134"/>
        <scheme val="minor"/>
      </rPr>
      <t xml:space="preserve">Use </t>
    </r>
    <r>
      <rPr>
        <sz val="10"/>
        <color theme="1"/>
        <rFont val="Arial Unicode MS"/>
        <charset val="134"/>
      </rPr>
      <t>$</t>
    </r>
    <r>
      <rPr>
        <sz val="11"/>
        <color theme="1"/>
        <rFont val="Calibri"/>
        <charset val="134"/>
        <scheme val="minor"/>
      </rPr>
      <t xml:space="preserve"> sign.</t>
    </r>
  </si>
  <si>
    <r>
      <rPr>
        <sz val="11"/>
        <color theme="1"/>
        <rFont val="Calibri"/>
        <charset val="134"/>
        <scheme val="minor"/>
      </rPr>
      <t xml:space="preserve">Example: </t>
    </r>
    <r>
      <rPr>
        <sz val="10"/>
        <color theme="1"/>
        <rFont val="Arial Unicode MS"/>
        <charset val="134"/>
      </rPr>
      <t>$A$1</t>
    </r>
  </si>
  <si>
    <t>Absolute Reference</t>
  </si>
  <si>
    <t>Percentage</t>
  </si>
  <si>
    <t>Total Marks</t>
  </si>
  <si>
    <t xml:space="preserve">Mixed Refrence </t>
  </si>
  <si>
    <t>Mixed  Reference</t>
  </si>
  <si>
    <r>
      <rPr>
        <sz val="10"/>
        <color theme="1"/>
        <rFont val="Arial Unicode MS"/>
        <charset val="134"/>
      </rPr>
      <t>$A1</t>
    </r>
    <r>
      <rPr>
        <sz val="11"/>
        <color theme="1"/>
        <rFont val="Calibri"/>
        <charset val="134"/>
        <scheme val="minor"/>
      </rPr>
      <t xml:space="preserve"> → Column fixed, row changes</t>
    </r>
  </si>
  <si>
    <r>
      <rPr>
        <sz val="10"/>
        <color theme="1"/>
        <rFont val="Arial Unicode MS"/>
        <charset val="134"/>
      </rPr>
      <t>A$1</t>
    </r>
    <r>
      <rPr>
        <sz val="11"/>
        <color theme="1"/>
        <rFont val="Calibri"/>
        <charset val="134"/>
        <scheme val="minor"/>
      </rPr>
      <t xml:space="preserve"> → Row fixed, column changes</t>
    </r>
  </si>
  <si>
    <t>IF Function</t>
  </si>
  <si>
    <t>Checks a condition and gives result based on TRUE or FALSE.</t>
  </si>
  <si>
    <t>IF(condition, value_if_true, value_if_false)</t>
  </si>
  <si>
    <t>Employee Name</t>
  </si>
  <si>
    <t>Marks</t>
  </si>
  <si>
    <t>Attendance %</t>
  </si>
  <si>
    <t>Grade</t>
  </si>
  <si>
    <t>Attendance Status</t>
  </si>
  <si>
    <t>Condition</t>
  </si>
  <si>
    <r>
      <rPr>
        <sz val="11"/>
        <color theme="1"/>
        <rFont val="Calibri"/>
        <charset val="134"/>
        <scheme val="minor"/>
      </rPr>
      <t xml:space="preserve">If Marks are </t>
    </r>
    <r>
      <rPr>
        <b/>
        <sz val="11"/>
        <color theme="1"/>
        <rFont val="Calibri"/>
        <charset val="134"/>
        <scheme val="minor"/>
      </rPr>
      <t>greater than or equal to 50</t>
    </r>
    <r>
      <rPr>
        <sz val="11"/>
        <color theme="1"/>
        <rFont val="Calibri"/>
        <charset val="134"/>
        <scheme val="minor"/>
      </rPr>
      <t>, then "Pass", otherwise "Fail".</t>
    </r>
  </si>
  <si>
    <t xml:space="preserve">Nested IF </t>
  </si>
  <si>
    <t>Nested IF Condition</t>
  </si>
  <si>
    <t>If Marks ≥ 75 → "Excellent"</t>
  </si>
  <si>
    <t>If Marks ≥ 50 → "Pass"</t>
  </si>
  <si>
    <t>Otherwise → "Fail"</t>
  </si>
  <si>
    <t>Logical Function</t>
  </si>
  <si>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>: Returns TRUE if all conditions are true.</t>
    </r>
  </si>
  <si>
    <t>AND(condition1, condition2)</t>
  </si>
  <si>
    <t>Employee</t>
  </si>
  <si>
    <t>Salary</t>
  </si>
  <si>
    <t>Experience (Years)</t>
  </si>
  <si>
    <t>AND</t>
  </si>
  <si>
    <t>OR</t>
  </si>
  <si>
    <t>NOT</t>
  </si>
  <si>
    <r>
      <rPr>
        <b/>
        <sz val="11"/>
        <color theme="1"/>
        <rFont val="Calibri"/>
        <charset val="134"/>
        <scheme val="minor"/>
      </rPr>
      <t>OR</t>
    </r>
    <r>
      <rPr>
        <sz val="11"/>
        <color theme="1"/>
        <rFont val="Calibri"/>
        <charset val="134"/>
        <scheme val="minor"/>
      </rPr>
      <t xml:space="preserve"> : Returns TRUE if any one condition is true.</t>
    </r>
  </si>
  <si>
    <t>OR(condition1, condition2)</t>
  </si>
  <si>
    <r>
      <rPr>
        <b/>
        <sz val="11"/>
        <color theme="1"/>
        <rFont val="Calibri"/>
        <charset val="134"/>
        <scheme val="minor"/>
      </rPr>
      <t xml:space="preserve">NOT </t>
    </r>
    <r>
      <rPr>
        <sz val="11"/>
        <color theme="1"/>
        <rFont val="Calibri"/>
        <charset val="134"/>
        <scheme val="minor"/>
      </rPr>
      <t>: Reverse the result (True becomes False)</t>
    </r>
  </si>
  <si>
    <t>Check if Experience is greater than or equal to 3 years AND Attendance is greater than or equal to 85%.</t>
  </si>
  <si>
    <t>Check if Salary is greater than 35000 OR Attendance is greater than 90%.</t>
  </si>
  <si>
    <t>Check if Experience is NOT less than 2 years.</t>
  </si>
  <si>
    <t>Logical Function (with if function)</t>
  </si>
  <si>
    <t>If both are true → "Eligible", otherwise → "Not Eligible".</t>
  </si>
  <si>
    <t>If any one condition is true → "Bonus", otherwise → "No Bonus".</t>
  </si>
  <si>
    <t>If true → "Experienced", otherwise → "Fresher".</t>
  </si>
  <si>
    <t xml:space="preserve">Count Function </t>
  </si>
  <si>
    <t>Count :  Counts only numeric values.</t>
  </si>
  <si>
    <t>Emp_ID</t>
  </si>
  <si>
    <t>Name</t>
  </si>
  <si>
    <t>Department</t>
  </si>
  <si>
    <t>Gender</t>
  </si>
  <si>
    <t>Experience</t>
  </si>
  <si>
    <t>City</t>
  </si>
  <si>
    <t>Rating</t>
  </si>
  <si>
    <t>Count if : Counts cells based on one condition.</t>
  </si>
  <si>
    <t>HR</t>
  </si>
  <si>
    <t>Female</t>
  </si>
  <si>
    <t>Mumbai</t>
  </si>
  <si>
    <t>Count ifs : Counts cells based on multiple conditions.</t>
  </si>
  <si>
    <t>IT</t>
  </si>
  <si>
    <t>Male</t>
  </si>
  <si>
    <t>Delhi</t>
  </si>
  <si>
    <t>Finance</t>
  </si>
  <si>
    <t>Pune</t>
  </si>
  <si>
    <t>COUNT Questions</t>
  </si>
  <si>
    <t>Neha</t>
  </si>
  <si>
    <t>Imran</t>
  </si>
  <si>
    <t>Sales</t>
  </si>
  <si>
    <r>
      <rPr>
        <sz val="11"/>
        <color theme="1"/>
        <rFont val="Calibri"/>
        <charset val="134"/>
        <scheme val="minor"/>
      </rPr>
      <t xml:space="preserve">Count total number of employees based on </t>
    </r>
    <r>
      <rPr>
        <b/>
        <sz val="11"/>
        <color theme="1"/>
        <rFont val="Calibri"/>
        <charset val="134"/>
        <scheme val="minor"/>
      </rPr>
      <t>Experience column</t>
    </r>
    <r>
      <rPr>
        <sz val="11"/>
        <color theme="1"/>
        <rFont val="Calibri"/>
        <charset val="134"/>
        <scheme val="minor"/>
      </rPr>
      <t>.</t>
    </r>
  </si>
  <si>
    <t>Priya</t>
  </si>
  <si>
    <r>
      <rPr>
        <sz val="11"/>
        <color theme="1"/>
        <rFont val="Calibri"/>
        <charset val="134"/>
        <scheme val="minor"/>
      </rPr>
      <t xml:space="preserve"> Count how many employees have given a </t>
    </r>
    <r>
      <rPr>
        <b/>
        <sz val="11"/>
        <color theme="1"/>
        <rFont val="Calibri"/>
        <charset val="134"/>
        <scheme val="minor"/>
      </rPr>
      <t>Rating</t>
    </r>
    <r>
      <rPr>
        <sz val="11"/>
        <color theme="1"/>
        <rFont val="Calibri"/>
        <charset val="134"/>
        <scheme val="minor"/>
      </rPr>
      <t xml:space="preserve"> (numeric count).</t>
    </r>
  </si>
  <si>
    <t>Rohan</t>
  </si>
  <si>
    <t>Zoya</t>
  </si>
  <si>
    <t>Aditya</t>
  </si>
  <si>
    <t>COUNTIF Questions</t>
  </si>
  <si>
    <t>Nisha</t>
  </si>
  <si>
    <t>Kabir</t>
  </si>
  <si>
    <r>
      <rPr>
        <sz val="11"/>
        <color theme="1"/>
        <rFont val="Calibri"/>
        <charset val="134"/>
        <scheme val="minor"/>
      </rPr>
      <t xml:space="preserve"> Count employees working in</t>
    </r>
    <r>
      <rPr>
        <b/>
        <sz val="11"/>
        <color theme="1"/>
        <rFont val="Calibri"/>
        <charset val="134"/>
        <scheme val="minor"/>
      </rPr>
      <t xml:space="preserve"> IT department.</t>
    </r>
  </si>
  <si>
    <t>Pooja</t>
  </si>
  <si>
    <r>
      <rPr>
        <sz val="11"/>
        <color theme="1"/>
        <rFont val="Calibri"/>
        <charset val="134"/>
        <scheme val="minor"/>
      </rPr>
      <t xml:space="preserve">Count employees whose </t>
    </r>
    <r>
      <rPr>
        <b/>
        <sz val="11"/>
        <color theme="1"/>
        <rFont val="Calibri"/>
        <charset val="134"/>
        <scheme val="minor"/>
      </rPr>
      <t>Salary is greater than 40,000</t>
    </r>
    <r>
      <rPr>
        <sz val="11"/>
        <color theme="1"/>
        <rFont val="Calibri"/>
        <charset val="134"/>
        <scheme val="minor"/>
      </rPr>
      <t>.</t>
    </r>
  </si>
  <si>
    <t>Anjali</t>
  </si>
  <si>
    <t xml:space="preserve"> </t>
  </si>
  <si>
    <t>Vikram</t>
  </si>
  <si>
    <t>Iqra</t>
  </si>
  <si>
    <t>Aman</t>
  </si>
  <si>
    <t xml:space="preserve">COUNTIFS Questions </t>
  </si>
  <si>
    <r>
      <rPr>
        <sz val="11"/>
        <color theme="1"/>
        <rFont val="Calibri"/>
        <charset val="134"/>
        <scheme val="minor"/>
      </rPr>
      <t xml:space="preserve">Count </t>
    </r>
    <r>
      <rPr>
        <b/>
        <sz val="11"/>
        <color theme="1"/>
        <rFont val="Calibri"/>
        <charset val="134"/>
        <scheme val="minor"/>
      </rPr>
      <t>Female employees in HR department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</si>
  <si>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Count employees from </t>
    </r>
    <r>
      <rPr>
        <b/>
        <sz val="11"/>
        <color theme="1"/>
        <rFont val="Calibri"/>
        <charset val="134"/>
        <scheme val="minor"/>
      </rPr>
      <t>Mumbai city with Experience more than 5 years</t>
    </r>
    <r>
      <rPr>
        <sz val="11"/>
        <color theme="1"/>
        <rFont val="Calibri"/>
        <charset val="134"/>
        <scheme val="minor"/>
      </rPr>
      <t>.</t>
    </r>
  </si>
  <si>
    <t xml:space="preserve">Sum Function </t>
  </si>
  <si>
    <r>
      <rPr>
        <sz val="11"/>
        <color theme="1"/>
        <rFont val="Calibri"/>
        <charset val="134"/>
        <scheme val="minor"/>
      </rPr>
      <t xml:space="preserve">Sum : The </t>
    </r>
    <r>
      <rPr>
        <b/>
        <sz val="11"/>
        <color theme="1"/>
        <rFont val="Calibri"/>
        <charset val="134"/>
        <scheme val="minor"/>
      </rPr>
      <t>SUM</t>
    </r>
    <r>
      <rPr>
        <sz val="11"/>
        <color theme="1"/>
        <rFont val="Calibri"/>
        <charset val="134"/>
        <scheme val="minor"/>
      </rPr>
      <t xml:space="preserve"> function is used to </t>
    </r>
    <r>
      <rPr>
        <b/>
        <sz val="11"/>
        <color theme="1"/>
        <rFont val="Calibri"/>
        <charset val="134"/>
        <scheme val="minor"/>
      </rPr>
      <t>add numbers together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</si>
  <si>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Sumif : The </t>
    </r>
    <r>
      <rPr>
        <b/>
        <sz val="11"/>
        <color theme="1"/>
        <rFont val="Calibri"/>
        <charset val="134"/>
        <scheme val="minor"/>
      </rPr>
      <t>SUMIF</t>
    </r>
    <r>
      <rPr>
        <sz val="11"/>
        <color theme="1"/>
        <rFont val="Calibri"/>
        <charset val="134"/>
        <scheme val="minor"/>
      </rPr>
      <t xml:space="preserve"> function is used to </t>
    </r>
    <r>
      <rPr>
        <b/>
        <sz val="11"/>
        <color theme="1"/>
        <rFont val="Calibri"/>
        <charset val="134"/>
        <scheme val="minor"/>
      </rPr>
      <t>add numbers based on one condition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</si>
  <si>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Sumifs : The </t>
    </r>
    <r>
      <rPr>
        <b/>
        <sz val="11"/>
        <color theme="1"/>
        <rFont val="Calibri"/>
        <charset val="134"/>
        <scheme val="minor"/>
      </rPr>
      <t>SUMIFS</t>
    </r>
    <r>
      <rPr>
        <sz val="11"/>
        <color theme="1"/>
        <rFont val="Calibri"/>
        <charset val="134"/>
        <scheme val="minor"/>
      </rPr>
      <t xml:space="preserve"> function is used to </t>
    </r>
    <r>
      <rPr>
        <b/>
        <sz val="11"/>
        <color theme="1"/>
        <rFont val="Calibri"/>
        <charset val="134"/>
        <scheme val="minor"/>
      </rPr>
      <t>add numbers based on multiple conditions</t>
    </r>
    <r>
      <rPr>
        <sz val="11"/>
        <color theme="1"/>
        <rFont val="Calibri"/>
        <charset val="134"/>
        <scheme val="minor"/>
      </rPr>
      <t>.</t>
    </r>
  </si>
  <si>
    <t>Sum Question</t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</si>
  <si>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salary of all employees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</si>
  <si>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Experience of all employees</t>
    </r>
    <r>
      <rPr>
        <sz val="11"/>
        <color theme="1"/>
        <rFont val="Calibri"/>
        <charset val="134"/>
        <scheme val="minor"/>
      </rPr>
      <t>.</t>
    </r>
  </si>
  <si>
    <t>SUMIF Function</t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</si>
  <si>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salary of HR department employees only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</si>
  <si>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salary of employees from Delhi only</t>
    </r>
    <r>
      <rPr>
        <sz val="11"/>
        <color theme="1"/>
        <rFont val="Calibri"/>
        <charset val="134"/>
        <scheme val="minor"/>
      </rPr>
      <t>.</t>
    </r>
  </si>
  <si>
    <t>SUMIFS Function</t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</si>
  <si>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salary of Female employees in HR department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</si>
  <si>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Write a formula to calculate the </t>
    </r>
    <r>
      <rPr>
        <b/>
        <sz val="11"/>
        <color theme="1"/>
        <rFont val="Calibri"/>
        <charset val="134"/>
        <scheme val="minor"/>
      </rPr>
      <t>total salary of IT employees from Pune</t>
    </r>
    <r>
      <rPr>
        <sz val="11"/>
        <color theme="1"/>
        <rFont val="Calibri"/>
        <charset val="134"/>
        <scheme val="minor"/>
      </rPr>
      <t>.</t>
    </r>
  </si>
  <si>
    <t>Vlookup</t>
  </si>
  <si>
    <r>
      <rPr>
        <sz val="11"/>
        <color theme="1"/>
        <rFont val="Calibri"/>
        <charset val="134"/>
        <scheme val="minor"/>
      </rPr>
      <t xml:space="preserve">VLOOKUP looks for a value </t>
    </r>
    <r>
      <rPr>
        <b/>
        <sz val="11"/>
        <color theme="1"/>
        <rFont val="Calibri"/>
        <charset val="134"/>
        <scheme val="minor"/>
      </rPr>
      <t>from top to bottom</t>
    </r>
    <r>
      <rPr>
        <sz val="11"/>
        <color theme="1"/>
        <rFont val="Calibri"/>
        <charset val="134"/>
        <scheme val="minor"/>
      </rPr>
      <t xml:space="preserve"> in a table and gives the related value.</t>
    </r>
  </si>
  <si>
    <r>
      <rPr>
        <sz val="11"/>
        <color theme="1"/>
        <rFont val="Calibri"/>
        <charset val="134"/>
        <scheme val="minor"/>
      </rPr>
      <t xml:space="preserve">HLOOKUP looks for a value </t>
    </r>
    <r>
      <rPr>
        <b/>
        <sz val="11"/>
        <color theme="1"/>
        <rFont val="Calibri"/>
        <charset val="134"/>
        <scheme val="minor"/>
      </rPr>
      <t>from left to right</t>
    </r>
    <r>
      <rPr>
        <sz val="11"/>
        <color theme="1"/>
        <rFont val="Calibri"/>
        <charset val="134"/>
        <scheme val="minor"/>
      </rPr>
      <t xml:space="preserve"> in a table and gives the related value</t>
    </r>
  </si>
  <si>
    <t>xlookup :</t>
  </si>
  <si>
    <t>Example 1</t>
  </si>
  <si>
    <t xml:space="preserve"> Age </t>
  </si>
  <si>
    <t xml:space="preserve">Class </t>
  </si>
  <si>
    <t xml:space="preserve">Unit Test1 </t>
  </si>
  <si>
    <t xml:space="preserve">Unit Test2 </t>
  </si>
  <si>
    <t xml:space="preserve">Final Test </t>
  </si>
  <si>
    <t xml:space="preserve"> Abhijeet </t>
  </si>
  <si>
    <t>M</t>
  </si>
  <si>
    <t>Aly</t>
  </si>
  <si>
    <t xml:space="preserve"> M </t>
  </si>
  <si>
    <t xml:space="preserve"> Muskan </t>
  </si>
  <si>
    <t>F</t>
  </si>
  <si>
    <t xml:space="preserve">Iqra </t>
  </si>
  <si>
    <t xml:space="preserve">F </t>
  </si>
  <si>
    <t xml:space="preserve">Rohit </t>
  </si>
  <si>
    <t xml:space="preserve">M </t>
  </si>
  <si>
    <t>ayesha</t>
  </si>
  <si>
    <t xml:space="preserve"> Abbas</t>
  </si>
  <si>
    <t>Tushar</t>
  </si>
  <si>
    <t>jayesh</t>
  </si>
  <si>
    <t>Priyanka</t>
  </si>
  <si>
    <t>sam</t>
  </si>
  <si>
    <t>shaukat</t>
  </si>
  <si>
    <t xml:space="preserve">nadeem </t>
  </si>
  <si>
    <t>ayaan</t>
  </si>
  <si>
    <t>Example 2</t>
  </si>
  <si>
    <t>SR NO</t>
  </si>
  <si>
    <t>NAME</t>
  </si>
  <si>
    <t>MARKS</t>
  </si>
  <si>
    <t>A</t>
  </si>
  <si>
    <t>GRADE</t>
  </si>
  <si>
    <t>B</t>
  </si>
  <si>
    <t>FAIL</t>
  </si>
  <si>
    <t>C</t>
  </si>
  <si>
    <t>D</t>
  </si>
  <si>
    <t>E</t>
  </si>
  <si>
    <t>A+</t>
  </si>
  <si>
    <t>G</t>
  </si>
  <si>
    <t>H</t>
  </si>
  <si>
    <t>hlookup</t>
  </si>
  <si>
    <t xml:space="preserve">Center </t>
  </si>
  <si>
    <t xml:space="preserve">Date </t>
  </si>
  <si>
    <t>Thane</t>
  </si>
  <si>
    <t xml:space="preserve"> Male </t>
  </si>
  <si>
    <t>Mumbra</t>
  </si>
  <si>
    <t>Bilal</t>
  </si>
  <si>
    <t>Vashi</t>
  </si>
  <si>
    <t>Kalyan</t>
  </si>
  <si>
    <t>Date</t>
  </si>
  <si>
    <t xml:space="preserve">Male </t>
  </si>
  <si>
    <t>Data Validation</t>
  </si>
  <si>
    <r>
      <rPr>
        <b/>
        <sz val="11"/>
        <color theme="1"/>
        <rFont val="Calibri"/>
        <charset val="134"/>
        <scheme val="minor"/>
      </rPr>
      <t>Data Validation</t>
    </r>
    <r>
      <rPr>
        <sz val="11"/>
        <color theme="1"/>
        <rFont val="Calibri"/>
        <charset val="134"/>
        <scheme val="minor"/>
      </rPr>
      <t xml:space="preserve"> in Microsoft Excel is used to </t>
    </r>
    <r>
      <rPr>
        <b/>
        <sz val="11"/>
        <color theme="1"/>
        <rFont val="Calibri"/>
        <charset val="134"/>
        <scheme val="minor"/>
      </rPr>
      <t>control what type of data a user can enter in a cell</t>
    </r>
    <r>
      <rPr>
        <sz val="11"/>
        <color theme="1"/>
        <rFont val="Calibri"/>
        <charset val="134"/>
        <scheme val="minor"/>
      </rPr>
      <t>.</t>
    </r>
  </si>
  <si>
    <t>Why We Use Data Validation?</t>
  </si>
  <si>
    <r>
      <rPr>
        <b/>
        <sz val="11"/>
        <color theme="0"/>
        <rFont val="Calibri"/>
        <charset val="134"/>
        <scheme val="minor"/>
      </rPr>
      <t>Data</t>
    </r>
    <r>
      <rPr>
        <sz val="11"/>
        <color theme="0"/>
        <rFont val="Calibri"/>
        <charset val="134"/>
        <scheme val="minor"/>
      </rPr>
      <t xml:space="preserve"> </t>
    </r>
  </si>
  <si>
    <t>Whole Number</t>
  </si>
  <si>
    <t xml:space="preserve">Text Length </t>
  </si>
  <si>
    <t>List</t>
  </si>
  <si>
    <t>PYTHON</t>
  </si>
  <si>
    <t xml:space="preserve">female </t>
  </si>
  <si>
    <t>To allow only specific values</t>
  </si>
  <si>
    <t xml:space="preserve">To restrict numbers </t>
  </si>
  <si>
    <t>To create dropdown lists</t>
  </si>
  <si>
    <t>To show input messages</t>
  </si>
  <si>
    <t>To show error alerts</t>
  </si>
  <si>
    <t>other</t>
  </si>
  <si>
    <t xml:space="preserve">male </t>
  </si>
  <si>
    <t xml:space="preserve">Whole numbers </t>
  </si>
  <si>
    <t xml:space="preserve">Text length </t>
  </si>
  <si>
    <t>Drop Down list</t>
  </si>
  <si>
    <t>input messages</t>
  </si>
  <si>
    <t xml:space="preserve">Error messages </t>
  </si>
  <si>
    <t>Stop</t>
  </si>
  <si>
    <t>warnings</t>
  </si>
  <si>
    <t>Information</t>
  </si>
  <si>
    <t>Filter</t>
  </si>
  <si>
    <r>
      <rPr>
        <sz val="11"/>
        <color theme="1"/>
        <rFont val="Calibri"/>
        <charset val="134"/>
        <scheme val="minor"/>
      </rPr>
      <t xml:space="preserve">Filter is used to </t>
    </r>
    <r>
      <rPr>
        <b/>
        <sz val="11"/>
        <color theme="1"/>
        <rFont val="Calibri"/>
        <charset val="134"/>
        <scheme val="minor"/>
      </rPr>
      <t>display selected data based on a condition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temporarily hide the remaining data</t>
    </r>
    <r>
      <rPr>
        <sz val="11"/>
        <color theme="1"/>
        <rFont val="Calibri"/>
        <charset val="134"/>
        <scheme val="minor"/>
      </rPr>
      <t xml:space="preserve"> without deleting it</t>
    </r>
  </si>
  <si>
    <t xml:space="preserve">shortcut key </t>
  </si>
  <si>
    <t>ctrl + shift + L</t>
  </si>
  <si>
    <t>Product Name</t>
  </si>
  <si>
    <t>Category</t>
  </si>
  <si>
    <t>Brand</t>
  </si>
  <si>
    <t>Price</t>
  </si>
  <si>
    <t>Quantity</t>
  </si>
  <si>
    <t>Warranty_Years</t>
  </si>
  <si>
    <t>Supplier</t>
  </si>
  <si>
    <t>In_Stock</t>
  </si>
  <si>
    <t>Laptop</t>
  </si>
  <si>
    <t>Computer</t>
  </si>
  <si>
    <t>Dell</t>
  </si>
  <si>
    <t>ABC Corp</t>
  </si>
  <si>
    <t>Yes</t>
  </si>
  <si>
    <t>HP</t>
  </si>
  <si>
    <t>XYZ Ltd</t>
  </si>
  <si>
    <t>Mobile</t>
  </si>
  <si>
    <t>Phone</t>
  </si>
  <si>
    <t>Samsung</t>
  </si>
  <si>
    <t>No</t>
  </si>
  <si>
    <t>Apple</t>
  </si>
  <si>
    <t>Tablet</t>
  </si>
  <si>
    <t>Lenovo</t>
  </si>
  <si>
    <t>TechWorld</t>
  </si>
  <si>
    <t>Headphones</t>
  </si>
  <si>
    <t>Accessory</t>
  </si>
  <si>
    <t>Boat</t>
  </si>
  <si>
    <t>SoundHub</t>
  </si>
  <si>
    <t>Sony</t>
  </si>
  <si>
    <t>Smartwatch</t>
  </si>
  <si>
    <t>Wearable</t>
  </si>
  <si>
    <t>Keyboard</t>
  </si>
  <si>
    <t>Logitech</t>
  </si>
  <si>
    <t>Mouse</t>
  </si>
  <si>
    <t>Monitor</t>
  </si>
  <si>
    <t>Display</t>
  </si>
  <si>
    <t>LG</t>
  </si>
  <si>
    <t>DisplayHub</t>
  </si>
  <si>
    <t>Printer</t>
  </si>
  <si>
    <t>Office</t>
  </si>
  <si>
    <t>OfficeMart</t>
  </si>
  <si>
    <t>Canon</t>
  </si>
  <si>
    <t>Camera</t>
  </si>
  <si>
    <t>Imaging</t>
  </si>
  <si>
    <t>PhotoWorld</t>
  </si>
  <si>
    <t>Speaker</t>
  </si>
  <si>
    <t>Audio</t>
  </si>
  <si>
    <t>JBL</t>
  </si>
  <si>
    <t>Router</t>
  </si>
  <si>
    <t>Networking</t>
  </si>
  <si>
    <t>TP-Link</t>
  </si>
  <si>
    <t>NetStore</t>
  </si>
  <si>
    <t xml:space="preserve">Panes </t>
  </si>
  <si>
    <r>
      <rPr>
        <sz val="11"/>
        <color theme="1"/>
        <rFont val="Calibri"/>
        <charset val="134"/>
        <scheme val="minor"/>
      </rPr>
      <t xml:space="preserve">Freeze Panes is used to </t>
    </r>
    <r>
      <rPr>
        <b/>
        <sz val="11"/>
        <color theme="1"/>
        <rFont val="Calibri"/>
        <charset val="134"/>
        <scheme val="minor"/>
      </rPr>
      <t>keep rows or columns visible</t>
    </r>
    <r>
      <rPr>
        <sz val="11"/>
        <color theme="1"/>
        <rFont val="Calibri"/>
        <charset val="134"/>
        <scheme val="minor"/>
      </rPr>
      <t xml:space="preserve"> while you scroll the worksheet.</t>
    </r>
  </si>
  <si>
    <t>Text Functions</t>
  </si>
  <si>
    <r>
      <rPr>
        <b/>
        <sz val="11"/>
        <color theme="1"/>
        <rFont val="Calibri"/>
        <charset val="134"/>
        <scheme val="minor"/>
      </rPr>
      <t>UPPER</t>
    </r>
    <r>
      <rPr>
        <sz val="11"/>
        <color theme="1"/>
        <rFont val="Calibri"/>
        <charset val="134"/>
        <scheme val="minor"/>
      </rPr>
      <t xml:space="preserve"> : Converts text into capital letters.</t>
    </r>
  </si>
  <si>
    <t>First Name</t>
  </si>
  <si>
    <t>Last Name</t>
  </si>
  <si>
    <t>E-mail</t>
  </si>
  <si>
    <t>Telephone</t>
  </si>
  <si>
    <t>NationalID</t>
  </si>
  <si>
    <t>upper</t>
  </si>
  <si>
    <t>lower</t>
  </si>
  <si>
    <t>proper</t>
  </si>
  <si>
    <t>concat</t>
  </si>
  <si>
    <t>left</t>
  </si>
  <si>
    <t>right</t>
  </si>
  <si>
    <t>mid</t>
  </si>
  <si>
    <t>len</t>
  </si>
  <si>
    <t>find</t>
  </si>
  <si>
    <t>search</t>
  </si>
  <si>
    <t>replace</t>
  </si>
  <si>
    <t>trim</t>
  </si>
  <si>
    <t>substitute</t>
  </si>
  <si>
    <r>
      <rPr>
        <b/>
        <sz val="11"/>
        <color theme="1"/>
        <rFont val="Calibri"/>
        <charset val="134"/>
        <scheme val="minor"/>
      </rPr>
      <t>LOWER</t>
    </r>
    <r>
      <rPr>
        <sz val="11"/>
        <color theme="1"/>
        <rFont val="Calibri"/>
        <charset val="134"/>
        <scheme val="minor"/>
      </rPr>
      <t xml:space="preserve"> : Converts text into small letters.</t>
    </r>
  </si>
  <si>
    <t xml:space="preserve">JENNIFER </t>
  </si>
  <si>
    <t>MCGRATH</t>
  </si>
  <si>
    <t>female</t>
  </si>
  <si>
    <t>JenniferJMcGrath@gmail.com</t>
  </si>
  <si>
    <t>618-376-3064</t>
  </si>
  <si>
    <t>84-158</t>
  </si>
  <si>
    <r>
      <rPr>
        <b/>
        <sz val="11"/>
        <color theme="1"/>
        <rFont val="Calibri"/>
        <charset val="134"/>
        <scheme val="minor"/>
      </rPr>
      <t>PROPER</t>
    </r>
    <r>
      <rPr>
        <sz val="11"/>
        <color theme="1"/>
        <rFont val="Calibri"/>
        <charset val="134"/>
        <scheme val="minor"/>
      </rPr>
      <t xml:space="preserve"> : Converts text into first letter capital.</t>
    </r>
  </si>
  <si>
    <t>CHAD</t>
  </si>
  <si>
    <t xml:space="preserve">LEWIS </t>
  </si>
  <si>
    <t>male</t>
  </si>
  <si>
    <t>ChadSLewis@aol.com</t>
  </si>
  <si>
    <t>530-289-3807</t>
  </si>
  <si>
    <t>60-851</t>
  </si>
  <si>
    <r>
      <rPr>
        <b/>
        <sz val="11"/>
        <color theme="1"/>
        <rFont val="Calibri"/>
        <charset val="134"/>
        <scheme val="minor"/>
      </rPr>
      <t>CONCAT</t>
    </r>
    <r>
      <rPr>
        <sz val="11"/>
        <color theme="1"/>
        <rFont val="Calibri"/>
        <charset val="134"/>
        <scheme val="minor"/>
      </rPr>
      <t xml:space="preserve"> : Joins text.</t>
    </r>
  </si>
  <si>
    <t>SUSAN</t>
  </si>
  <si>
    <t>RODRIGUEZ</t>
  </si>
  <si>
    <t>SusanSRodriguez@hotmail.com</t>
  </si>
  <si>
    <t>908-264-1670</t>
  </si>
  <si>
    <t>44-5370</t>
  </si>
  <si>
    <r>
      <rPr>
        <b/>
        <sz val="11"/>
        <color theme="1"/>
        <rFont val="Calibri"/>
        <charset val="134"/>
        <scheme val="minor"/>
      </rPr>
      <t>LEFT</t>
    </r>
    <r>
      <rPr>
        <sz val="11"/>
        <color theme="1"/>
        <rFont val="Calibri"/>
        <charset val="134"/>
        <scheme val="minor"/>
      </rPr>
      <t xml:space="preserve"> : Extracts text from left side.</t>
    </r>
  </si>
  <si>
    <t xml:space="preserve">WAYNE </t>
  </si>
  <si>
    <t>NIELSON</t>
  </si>
  <si>
    <t>WayneMNielson@aol.com</t>
  </si>
  <si>
    <t>540-644-7658</t>
  </si>
  <si>
    <t>01-1254</t>
  </si>
  <si>
    <r>
      <rPr>
        <b/>
        <sz val="11"/>
        <color theme="1"/>
        <rFont val="Calibri"/>
        <charset val="134"/>
        <scheme val="minor"/>
      </rPr>
      <t>RIGHT</t>
    </r>
    <r>
      <rPr>
        <sz val="11"/>
        <color theme="1"/>
        <rFont val="Calibri"/>
        <charset val="134"/>
        <scheme val="minor"/>
      </rPr>
      <t xml:space="preserve"> : Extracts text from right side.</t>
    </r>
  </si>
  <si>
    <t>JOHN</t>
  </si>
  <si>
    <t xml:space="preserve">DEPAUL </t>
  </si>
  <si>
    <t>JohnDDepaul@gmail.com</t>
  </si>
  <si>
    <t>225-274-4802</t>
  </si>
  <si>
    <t>03-1343</t>
  </si>
  <si>
    <r>
      <rPr>
        <b/>
        <sz val="11"/>
        <color theme="1"/>
        <rFont val="Calibri"/>
        <charset val="134"/>
        <scheme val="minor"/>
      </rPr>
      <t>MID</t>
    </r>
    <r>
      <rPr>
        <sz val="11"/>
        <color theme="1"/>
        <rFont val="Calibri"/>
        <charset val="134"/>
        <scheme val="minor"/>
      </rPr>
      <t xml:space="preserve"> : Extracts text from middle.</t>
    </r>
  </si>
  <si>
    <t>JOSEPH</t>
  </si>
  <si>
    <t>MARTINEZ</t>
  </si>
  <si>
    <t>JosephJMartinez@aol.com</t>
  </si>
  <si>
    <t>503-402-2075</t>
  </si>
  <si>
    <t>19-8581</t>
  </si>
  <si>
    <r>
      <rPr>
        <b/>
        <sz val="11"/>
        <color theme="1"/>
        <rFont val="Calibri"/>
        <charset val="134"/>
        <scheme val="minor"/>
      </rPr>
      <t>LEN</t>
    </r>
    <r>
      <rPr>
        <sz val="11"/>
        <color theme="1"/>
        <rFont val="Calibri"/>
        <charset val="134"/>
        <scheme val="minor"/>
      </rPr>
      <t xml:space="preserve"> : Counts characters.</t>
    </r>
  </si>
  <si>
    <t>DIANE</t>
  </si>
  <si>
    <t xml:space="preserve">HENRY </t>
  </si>
  <si>
    <t>DianeKHenry@gmail.com</t>
  </si>
  <si>
    <t>512-633-7667</t>
  </si>
  <si>
    <t>86-7264</t>
  </si>
  <si>
    <r>
      <rPr>
        <b/>
        <sz val="11"/>
        <color theme="1"/>
        <rFont val="Calibri"/>
        <charset val="134"/>
        <scheme val="minor"/>
      </rPr>
      <t>FIND</t>
    </r>
    <r>
      <rPr>
        <sz val="11"/>
        <color theme="1"/>
        <rFont val="Calibri"/>
        <charset val="134"/>
        <scheme val="minor"/>
      </rPr>
      <t xml:space="preserve"> : Finds position (case-sensitive).</t>
    </r>
  </si>
  <si>
    <t>VERONICA</t>
  </si>
  <si>
    <t>COMERFORD</t>
  </si>
  <si>
    <t>VeronicaMComerford@gmail.com</t>
  </si>
  <si>
    <t>334-725-7343</t>
  </si>
  <si>
    <t>94-9897</t>
  </si>
  <si>
    <r>
      <rPr>
        <b/>
        <sz val="11"/>
        <color theme="1"/>
        <rFont val="Calibri"/>
        <charset val="134"/>
        <scheme val="minor"/>
      </rPr>
      <t>SEARCH</t>
    </r>
    <r>
      <rPr>
        <sz val="11"/>
        <color theme="1"/>
        <rFont val="Calibri"/>
        <charset val="134"/>
        <scheme val="minor"/>
      </rPr>
      <t xml:space="preserve"> : Finds position (not case-sensitive).</t>
    </r>
  </si>
  <si>
    <t>BEVERLY</t>
  </si>
  <si>
    <t>NIXON</t>
  </si>
  <si>
    <t>BeverlyDNixon@aol.com</t>
  </si>
  <si>
    <t>347-626-0700</t>
  </si>
  <si>
    <t>88-7922</t>
  </si>
  <si>
    <r>
      <rPr>
        <b/>
        <sz val="11"/>
        <color theme="1"/>
        <rFont val="Calibri"/>
        <charset val="134"/>
        <scheme val="minor"/>
      </rPr>
      <t>REPLACE</t>
    </r>
    <r>
      <rPr>
        <sz val="11"/>
        <color theme="1"/>
        <rFont val="Calibri"/>
        <charset val="134"/>
        <scheme val="minor"/>
      </rPr>
      <t xml:space="preserve"> : Replaces part of text by position.</t>
    </r>
  </si>
  <si>
    <t>IVAN</t>
  </si>
  <si>
    <t>LAYTON</t>
  </si>
  <si>
    <t>IvanSLayton@gmail.com</t>
  </si>
  <si>
    <t>518-431-7602</t>
  </si>
  <si>
    <t>09-4367</t>
  </si>
  <si>
    <r>
      <rPr>
        <b/>
        <sz val="11"/>
        <color theme="1"/>
        <rFont val="Calibri"/>
        <charset val="134"/>
        <scheme val="minor"/>
      </rPr>
      <t>TRIM</t>
    </r>
    <r>
      <rPr>
        <sz val="11"/>
        <color theme="1"/>
        <rFont val="Calibri"/>
        <charset val="134"/>
        <scheme val="minor"/>
      </rPr>
      <t xml:space="preserve"> : Removes extra spaces.</t>
    </r>
  </si>
  <si>
    <t>SHANNON</t>
  </si>
  <si>
    <t>FORD</t>
  </si>
  <si>
    <t>ShannonHFord@aol.com</t>
  </si>
  <si>
    <t>979-814-1664</t>
  </si>
  <si>
    <t>03-6340</t>
  </si>
  <si>
    <r>
      <rPr>
        <b/>
        <sz val="11"/>
        <color theme="1"/>
        <rFont val="Calibri"/>
        <charset val="134"/>
        <scheme val="minor"/>
      </rPr>
      <t>SUBSTITUTE</t>
    </r>
    <r>
      <rPr>
        <sz val="11"/>
        <color theme="1"/>
        <rFont val="Calibri"/>
        <charset val="134"/>
        <scheme val="minor"/>
      </rPr>
      <t xml:space="preserve"> : Replaces specific word.</t>
    </r>
  </si>
  <si>
    <t>DEBRA</t>
  </si>
  <si>
    <t>PONCE</t>
  </si>
  <si>
    <t>DebraFPonce@gmail.com</t>
  </si>
  <si>
    <t>254-488-3212</t>
  </si>
  <si>
    <t>74-7259</t>
  </si>
  <si>
    <t>MARGARET</t>
  </si>
  <si>
    <t>BRYNER</t>
  </si>
  <si>
    <t>MargaretRBryner@aol.com</t>
  </si>
  <si>
    <t>401-222-2097</t>
  </si>
  <si>
    <t>38-513</t>
  </si>
  <si>
    <t>BARBARA</t>
  </si>
  <si>
    <t>SMITH</t>
  </si>
  <si>
    <t>BarbaraESmith@hotmail.com</t>
  </si>
  <si>
    <t>609-412-4268</t>
  </si>
  <si>
    <t>54-1895</t>
  </si>
  <si>
    <t>Purchase Ledger</t>
  </si>
  <si>
    <t>Code</t>
  </si>
  <si>
    <t>Area code</t>
  </si>
  <si>
    <t>Area of activity</t>
  </si>
  <si>
    <t>Description</t>
  </si>
  <si>
    <t>Amount</t>
  </si>
  <si>
    <t>Real Cost</t>
  </si>
  <si>
    <t>MS</t>
  </si>
  <si>
    <t>Backhander to Trotter</t>
  </si>
  <si>
    <t>IE</t>
  </si>
  <si>
    <t>Second-hand video cases</t>
  </si>
  <si>
    <t>OA</t>
  </si>
  <si>
    <t>Raquel's wages</t>
  </si>
  <si>
    <t>Rental on stall</t>
  </si>
  <si>
    <t>Protection money</t>
  </si>
  <si>
    <t>Rodney's wages</t>
  </si>
  <si>
    <t>Market Stall</t>
  </si>
  <si>
    <t>100 skateboards</t>
  </si>
  <si>
    <t>Import/Export</t>
  </si>
  <si>
    <t>Heating for office</t>
  </si>
  <si>
    <t>Other Activities</t>
  </si>
  <si>
    <t>Rent for office</t>
  </si>
  <si>
    <t>100 cabbage patch dolls</t>
  </si>
  <si>
    <t>Christmas trees</t>
  </si>
  <si>
    <t>Fairy lights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</si>
</sst>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"/>
  </numFmts>
  <fonts count="3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0"/>
      <color theme="1"/>
      <name val="Arial Unicode MS"/>
      <charset val="134"/>
    </font>
    <font>
      <b/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7" fillId="0" borderId="19" applyNumberFormat="0" applyFill="0" applyAlignment="0" applyProtection="0"/>
    <xf numFmtId="0" fontId="27" fillId="0" borderId="0" applyNumberFormat="0" applyFill="0" applyBorder="0" applyAlignment="0" applyProtection="0"/>
    <xf numFmtId="0" fontId="28" fillId="14" borderId="20" applyNumberFormat="0" applyAlignment="0" applyProtection="0"/>
    <xf numFmtId="0" fontId="29" fillId="15" borderId="21" applyNumberFormat="0" applyAlignment="0" applyProtection="0"/>
    <xf numFmtId="0" fontId="30" fillId="15" borderId="20" applyNumberFormat="0" applyAlignment="0" applyProtection="0"/>
    <xf numFmtId="0" fontId="2" fillId="16" borderId="22" applyNumberFormat="0" applyAlignment="0" applyProtection="0"/>
    <xf numFmtId="0" fontId="31" fillId="0" borderId="23" applyNumberFormat="0" applyFill="0" applyAlignment="0" applyProtection="0"/>
    <xf numFmtId="0" fontId="4" fillId="0" borderId="24" applyNumberFormat="0" applyFill="0" applyAlignment="0" applyProtection="0"/>
    <xf numFmtId="0" fontId="32" fillId="17" borderId="0" applyNumberFormat="0" applyBorder="0" applyAlignment="0" applyProtection="0"/>
    <xf numFmtId="0" fontId="33" fillId="18" borderId="0" applyNumberFormat="0" applyBorder="0" applyAlignment="0" applyProtection="0"/>
    <xf numFmtId="0" fontId="3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5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5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5" fillId="3" borderId="0" applyNumberFormat="0" applyBorder="0" applyAlignment="0" applyProtection="0">
      <alignment vertical="center"/>
    </xf>
    <xf numFmtId="0" fontId="1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35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/>
    <xf numFmtId="0" fontId="0" fillId="40" borderId="0" applyNumberFormat="0" applyBorder="0" applyAlignment="0" applyProtection="0"/>
    <xf numFmtId="0" fontId="0" fillId="41" borderId="0" applyNumberFormat="0" applyBorder="0" applyAlignment="0" applyProtection="0"/>
    <xf numFmtId="0" fontId="35" fillId="42" borderId="0" applyNumberFormat="0" applyBorder="0" applyAlignment="0" applyProtection="0">
      <alignment vertical="center"/>
    </xf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36" fillId="19" borderId="0" applyNumberFormat="0" applyBorder="0" applyAlignment="0" applyProtection="0"/>
    <xf numFmtId="0" fontId="9" fillId="0" borderId="0"/>
  </cellStyleXfs>
  <cellXfs count="1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3" borderId="5" xfId="0" applyFill="1" applyBorder="1"/>
    <xf numFmtId="0" fontId="0" fillId="4" borderId="4" xfId="0" applyFill="1" applyBorder="1" applyAlignment="1">
      <alignment horizontal="center"/>
    </xf>
    <xf numFmtId="18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4" borderId="6" xfId="0" applyFill="1" applyBorder="1" applyAlignment="1">
      <alignment horizontal="center"/>
    </xf>
    <xf numFmtId="180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5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2" fillId="7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2" fillId="7" borderId="1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0" xfId="0" applyFont="1"/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8" borderId="0" xfId="0" applyFont="1" applyFill="1" applyAlignment="1">
      <alignment horizontal="center"/>
    </xf>
    <xf numFmtId="0" fontId="4" fillId="0" borderId="9" xfId="0" applyFont="1" applyBorder="1"/>
    <xf numFmtId="0" fontId="3" fillId="8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8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/>
    <xf numFmtId="181" fontId="0" fillId="0" borderId="9" xfId="0" applyNumberFormat="1" applyBorder="1"/>
    <xf numFmtId="0" fontId="0" fillId="0" borderId="9" xfId="0" applyBorder="1" applyAlignment="1">
      <alignment vertical="center"/>
    </xf>
    <xf numFmtId="0" fontId="8" fillId="8" borderId="0" xfId="0" applyFont="1" applyFill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9" xfId="56" applyFont="1" applyFill="1" applyBorder="1" applyAlignment="1">
      <alignment horizontal="center"/>
    </xf>
    <xf numFmtId="0" fontId="9" fillId="0" borderId="9" xfId="56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81" fontId="0" fillId="0" borderId="9" xfId="0" applyNumberFormat="1" applyBorder="1" applyAlignment="1">
      <alignment horizontal="center"/>
    </xf>
    <xf numFmtId="0" fontId="0" fillId="0" borderId="9" xfId="0" applyBorder="1" applyAlignment="1"/>
    <xf numFmtId="0" fontId="2" fillId="5" borderId="9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4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horizontal="left"/>
    </xf>
    <xf numFmtId="0" fontId="10" fillId="5" borderId="0" xfId="0" applyFont="1" applyFill="1" applyAlignment="1">
      <alignment horizontal="center"/>
    </xf>
    <xf numFmtId="0" fontId="11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14" fillId="0" borderId="0" xfId="0" applyFont="1" applyBorder="1" applyAlignment="1">
      <alignment horizontal="center"/>
    </xf>
    <xf numFmtId="0" fontId="0" fillId="0" borderId="9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5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9" xfId="0" applyNumberFormat="1" applyBorder="1" applyAlignment="1">
      <alignment horizontal="center"/>
    </xf>
    <xf numFmtId="9" fontId="0" fillId="0" borderId="0" xfId="0" applyNumberFormat="1"/>
    <xf numFmtId="0" fontId="17" fillId="5" borderId="0" xfId="0" applyFont="1" applyFill="1" applyAlignment="1">
      <alignment horizontal="center"/>
    </xf>
    <xf numFmtId="1" fontId="0" fillId="0" borderId="9" xfId="0" applyNumberFormat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8" fillId="0" borderId="15" xfId="0" applyFont="1" applyBorder="1" applyAlignment="1">
      <alignment vertical="center"/>
    </xf>
    <xf numFmtId="0" fontId="4" fillId="0" borderId="15" xfId="0" applyFont="1" applyBorder="1"/>
    <xf numFmtId="0" fontId="12" fillId="10" borderId="0" xfId="0" applyFont="1" applyFill="1" applyAlignment="1">
      <alignment horizontal="center"/>
    </xf>
    <xf numFmtId="0" fontId="4" fillId="0" borderId="9" xfId="0" applyFont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12" borderId="9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Accent1 2" xfId="49"/>
    <cellStyle name="60% - Accent2 2" xfId="50"/>
    <cellStyle name="60% - Accent3 2" xfId="51"/>
    <cellStyle name="60% - Accent4 2" xfId="52"/>
    <cellStyle name="60% - Accent5 2" xfId="53"/>
    <cellStyle name="60% - Accent6 2" xfId="54"/>
    <cellStyle name="Neutral 2" xfId="55"/>
    <cellStyle name="Normal 2" xfId="56"/>
  </cellStyles>
  <dxfs count="16"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D21:K26" totalsRowShown="0">
  <autoFilter ref="D21:K26"/>
  <tableColumns count="8">
    <tableColumn id="1" name="Student Name" dataDxfId="0"/>
    <tableColumn id="2" name="Maths" dataDxfId="1"/>
    <tableColumn id="3" name="English" dataDxfId="2"/>
    <tableColumn id="4" name="Science" dataDxfId="3"/>
    <tableColumn id="5" name="Total " dataDxfId="4"/>
    <tableColumn id="6" name="Average" dataDxfId="5"/>
    <tableColumn id="7" name="Max" dataDxfId="6"/>
    <tableColumn id="8" name="Min" dataDxfId="7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5:K10" totalsRowShown="0">
  <tableColumns count="8">
    <tableColumn id="1" name="Student Name" dataDxfId="8"/>
    <tableColumn id="2" name="Maths" dataDxfId="9"/>
    <tableColumn id="3" name="English" dataDxfId="10"/>
    <tableColumn id="4" name="Science" dataDxfId="11"/>
    <tableColumn id="5" name="Total " dataDxfId="12"/>
    <tableColumn id="6" name="Average" dataDxfId="13"/>
    <tableColumn id="7" name="Max" dataDxfId="14"/>
    <tableColumn id="8" name="Min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opLeftCell="A3" workbookViewId="0">
      <selection activeCell="K12" sqref="K12"/>
    </sheetView>
  </sheetViews>
  <sheetFormatPr defaultColWidth="9" defaultRowHeight="15"/>
  <sheetData>
    <row r="1" spans="1:20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0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4" spans="1:8">
      <c r="A4" s="113" t="s">
        <v>1</v>
      </c>
      <c r="B4" s="67"/>
      <c r="C4" s="67"/>
      <c r="D4" s="67"/>
      <c r="E4" s="67"/>
      <c r="F4" s="67"/>
      <c r="G4" s="67"/>
      <c r="H4" s="67"/>
    </row>
    <row r="5" spans="1:8">
      <c r="A5" s="67" t="s">
        <v>2</v>
      </c>
      <c r="B5" s="67"/>
      <c r="C5" s="67"/>
      <c r="D5" s="67"/>
      <c r="E5" s="67"/>
      <c r="F5" s="67"/>
      <c r="G5" s="67"/>
      <c r="H5" s="67"/>
    </row>
    <row r="6" spans="1:8">
      <c r="A6" s="67" t="s">
        <v>3</v>
      </c>
      <c r="B6" s="67"/>
      <c r="C6" s="67"/>
      <c r="D6" s="67"/>
      <c r="E6" s="67"/>
      <c r="F6" s="67"/>
      <c r="G6" s="67"/>
      <c r="H6" s="67"/>
    </row>
    <row r="7" spans="1:8">
      <c r="A7" s="48"/>
      <c r="B7" s="48"/>
      <c r="C7" s="48"/>
      <c r="D7" s="48"/>
      <c r="E7" s="48"/>
      <c r="F7" s="48"/>
      <c r="G7" s="48"/>
      <c r="H7" s="48"/>
    </row>
    <row r="9" ht="23.25" spans="1:1">
      <c r="A9" s="114" t="s">
        <v>4</v>
      </c>
    </row>
    <row r="10" spans="1:1">
      <c r="A10" s="43" t="s">
        <v>5</v>
      </c>
    </row>
    <row r="11" spans="1:1">
      <c r="A11" s="43" t="s">
        <v>6</v>
      </c>
    </row>
    <row r="12" spans="1:1">
      <c r="A12" s="43" t="s">
        <v>7</v>
      </c>
    </row>
    <row r="13" spans="1:1">
      <c r="A13" s="43" t="s">
        <v>8</v>
      </c>
    </row>
    <row r="14" spans="1:1">
      <c r="A14" s="43" t="s">
        <v>9</v>
      </c>
    </row>
    <row r="17" ht="23.25" spans="1:1">
      <c r="A17" s="114" t="s">
        <v>10</v>
      </c>
    </row>
    <row r="18" spans="1:1">
      <c r="A18" s="115" t="s">
        <v>11</v>
      </c>
    </row>
    <row r="19" spans="1:1">
      <c r="A19" s="115" t="s">
        <v>12</v>
      </c>
    </row>
    <row r="20" spans="1:1">
      <c r="A20" s="115" t="s">
        <v>13</v>
      </c>
    </row>
    <row r="21" spans="1:1">
      <c r="A21" s="115" t="s">
        <v>14</v>
      </c>
    </row>
    <row r="22" spans="1:1">
      <c r="A22" s="115" t="s">
        <v>15</v>
      </c>
    </row>
  </sheetData>
  <mergeCells count="1">
    <mergeCell ref="A1:T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opLeftCell="B4" workbookViewId="0">
      <selection activeCell="I6" sqref="I6:K10"/>
    </sheetView>
  </sheetViews>
  <sheetFormatPr defaultColWidth="9" defaultRowHeight="15"/>
  <cols>
    <col min="4" max="4" width="18.2857142857143" customWidth="1"/>
    <col min="5" max="5" width="23.8571428571429" customWidth="1"/>
    <col min="6" max="6" width="22.2857142857143" customWidth="1"/>
    <col min="7" max="7" width="19.8571428571429" customWidth="1"/>
    <col min="8" max="8" width="15.2857142857143" customWidth="1"/>
    <col min="9" max="9" width="13.1428571428571" customWidth="1"/>
    <col min="10" max="10" width="18.1428571428571" customWidth="1"/>
    <col min="11" max="11" width="16.7142857142857" customWidth="1"/>
  </cols>
  <sheetData>
    <row r="1" customHeight="1" spans="1:13">
      <c r="A1" s="101" t="s">
        <v>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customHeight="1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5" spans="4:11">
      <c r="D5" s="102" t="s">
        <v>17</v>
      </c>
      <c r="E5" s="103" t="s">
        <v>18</v>
      </c>
      <c r="F5" s="103" t="s">
        <v>19</v>
      </c>
      <c r="G5" s="103" t="s">
        <v>20</v>
      </c>
      <c r="H5" s="103" t="s">
        <v>21</v>
      </c>
      <c r="I5" s="103" t="s">
        <v>22</v>
      </c>
      <c r="J5" s="103" t="s">
        <v>23</v>
      </c>
      <c r="K5" s="108" t="s">
        <v>24</v>
      </c>
    </row>
    <row r="6" spans="4:11">
      <c r="D6" s="85" t="s">
        <v>25</v>
      </c>
      <c r="E6" s="20">
        <v>80</v>
      </c>
      <c r="F6" s="20">
        <v>75</v>
      </c>
      <c r="G6" s="20">
        <v>85</v>
      </c>
      <c r="H6" s="20">
        <f>SUM(E6,F6,G6)</f>
        <v>240</v>
      </c>
      <c r="I6" s="20">
        <f>AVERAGE(F6,G6,H6)</f>
        <v>133.333333333333</v>
      </c>
      <c r="J6" s="20">
        <f>MAX(E6,F6,G6)</f>
        <v>85</v>
      </c>
      <c r="K6" s="21">
        <f>MIN(E6,F6,G6)</f>
        <v>75</v>
      </c>
    </row>
    <row r="7" spans="4:11">
      <c r="D7" s="85" t="s">
        <v>26</v>
      </c>
      <c r="E7" s="20">
        <v>60</v>
      </c>
      <c r="F7" s="20">
        <v>70</v>
      </c>
      <c r="G7" s="20">
        <v>65</v>
      </c>
      <c r="H7" s="20">
        <f>SUM(E7,F7,G7)</f>
        <v>195</v>
      </c>
      <c r="I7" s="20">
        <f>AVERAGE(F7,G7,H7)</f>
        <v>110</v>
      </c>
      <c r="J7" s="20">
        <f>MAX(E7,F7,G7)</f>
        <v>70</v>
      </c>
      <c r="K7" s="21">
        <f>MIN(E7,F7,G7)</f>
        <v>60</v>
      </c>
    </row>
    <row r="8" spans="4:11">
      <c r="D8" s="85" t="s">
        <v>27</v>
      </c>
      <c r="E8" s="20">
        <v>90</v>
      </c>
      <c r="F8" s="20">
        <v>88</v>
      </c>
      <c r="G8" s="20">
        <v>92</v>
      </c>
      <c r="H8" s="20">
        <f>SUM(E8,F8,G8)</f>
        <v>270</v>
      </c>
      <c r="I8" s="20">
        <f>AVERAGE(F8,G8,H8)</f>
        <v>150</v>
      </c>
      <c r="J8" s="20">
        <f>MAX(E8,F8,G8)</f>
        <v>92</v>
      </c>
      <c r="K8" s="21">
        <f>MIN(E8,F8,G8)</f>
        <v>88</v>
      </c>
    </row>
    <row r="9" spans="4:11">
      <c r="D9" s="85" t="s">
        <v>28</v>
      </c>
      <c r="E9" s="20">
        <v>50</v>
      </c>
      <c r="F9" s="20">
        <v>55</v>
      </c>
      <c r="G9" s="20">
        <v>60</v>
      </c>
      <c r="H9" s="20">
        <f>SUM(E9,F9,G9)</f>
        <v>165</v>
      </c>
      <c r="I9" s="20">
        <f>AVERAGE(F9,G9,H9)</f>
        <v>93.3333333333333</v>
      </c>
      <c r="J9" s="20">
        <f>MAX(E9,F9,G9)</f>
        <v>60</v>
      </c>
      <c r="K9" s="21">
        <f>MIN(E9,F9,G9)</f>
        <v>50</v>
      </c>
    </row>
    <row r="10" spans="4:11">
      <c r="D10" s="104" t="s">
        <v>29</v>
      </c>
      <c r="E10" s="71">
        <v>78</v>
      </c>
      <c r="F10" s="71">
        <v>82</v>
      </c>
      <c r="G10" s="71">
        <v>80</v>
      </c>
      <c r="H10" s="71">
        <f>SUM(E10,F10,G10)</f>
        <v>240</v>
      </c>
      <c r="I10" s="71">
        <f>AVERAGE(F10,G10,H10)</f>
        <v>134</v>
      </c>
      <c r="J10" s="71">
        <f>MAX(E10,F10,G10)</f>
        <v>82</v>
      </c>
      <c r="K10" s="109">
        <f>MIN(E10,F10,G10)</f>
        <v>78</v>
      </c>
    </row>
    <row r="13" spans="5:6">
      <c r="E13" s="105" t="s">
        <v>30</v>
      </c>
      <c r="F13" s="105" t="s">
        <v>31</v>
      </c>
    </row>
    <row r="14" spans="5:6">
      <c r="E14" s="77" t="s">
        <v>32</v>
      </c>
      <c r="F14" s="77">
        <f>MAX(E6:E10)</f>
        <v>90</v>
      </c>
    </row>
    <row r="15" spans="5:9">
      <c r="E15" s="77" t="s">
        <v>33</v>
      </c>
      <c r="F15" s="77">
        <f>MIN(F6:F10)</f>
        <v>55</v>
      </c>
      <c r="H15" t="s">
        <v>34</v>
      </c>
      <c r="I15">
        <f>SUM(num)</f>
        <v>75</v>
      </c>
    </row>
    <row r="16" spans="5:6">
      <c r="E16" s="77" t="s">
        <v>35</v>
      </c>
      <c r="F16" s="77">
        <f>COUNTA(D6:D10)</f>
        <v>5</v>
      </c>
    </row>
    <row r="19" spans="5:6">
      <c r="E19" s="37" t="s">
        <v>36</v>
      </c>
      <c r="F19" s="37" t="s">
        <v>37</v>
      </c>
    </row>
    <row r="21" spans="4:11"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</row>
    <row r="22" spans="4:11">
      <c r="D22" s="35" t="s">
        <v>25</v>
      </c>
      <c r="E22" s="35">
        <v>80</v>
      </c>
      <c r="F22" s="35">
        <v>75</v>
      </c>
      <c r="G22" s="35">
        <v>85</v>
      </c>
      <c r="H22" s="20">
        <f>SUM(E22,F22,G22)</f>
        <v>240</v>
      </c>
      <c r="I22" s="110">
        <f>AVERAGE(F22,G22,H22)</f>
        <v>133.333333333333</v>
      </c>
      <c r="J22" s="20">
        <f>MAX(E22,F22,G22)</f>
        <v>85</v>
      </c>
      <c r="K22" s="20">
        <f>MIN(E22,F22,G22)</f>
        <v>75</v>
      </c>
    </row>
    <row r="23" spans="4:11">
      <c r="D23" s="35" t="s">
        <v>26</v>
      </c>
      <c r="E23" s="35">
        <v>60</v>
      </c>
      <c r="F23" s="35">
        <v>70</v>
      </c>
      <c r="G23" s="35">
        <v>65</v>
      </c>
      <c r="H23" s="20">
        <f>SUM(E23,F23,G23)</f>
        <v>195</v>
      </c>
      <c r="I23" s="110">
        <f>AVERAGE(F23,G23,H23)</f>
        <v>110</v>
      </c>
      <c r="J23" s="20">
        <f>MAX(E23,F23,G23)</f>
        <v>70</v>
      </c>
      <c r="K23" s="20">
        <f>MIN(E23,F23,G23)</f>
        <v>60</v>
      </c>
    </row>
    <row r="24" spans="4:11">
      <c r="D24" s="35" t="s">
        <v>27</v>
      </c>
      <c r="E24" s="35">
        <v>90</v>
      </c>
      <c r="F24" s="35">
        <v>88</v>
      </c>
      <c r="G24" s="35">
        <v>92</v>
      </c>
      <c r="H24" s="20">
        <f>SUM(E24,F24,G24)</f>
        <v>270</v>
      </c>
      <c r="I24" s="110">
        <f>AVERAGE(F24,G24,H24)</f>
        <v>150</v>
      </c>
      <c r="J24" s="20">
        <f>MAX(E24,F24,G24)</f>
        <v>92</v>
      </c>
      <c r="K24" s="20">
        <f>MIN(E24,F24,G24)</f>
        <v>88</v>
      </c>
    </row>
    <row r="25" spans="4:11">
      <c r="D25" s="35" t="s">
        <v>28</v>
      </c>
      <c r="E25" s="35">
        <v>50</v>
      </c>
      <c r="F25" s="35">
        <v>55</v>
      </c>
      <c r="G25" s="35">
        <v>60</v>
      </c>
      <c r="H25" s="20">
        <f>SUM(E25,F25,G25)</f>
        <v>165</v>
      </c>
      <c r="I25" s="110">
        <f>AVERAGE(F25,G25,H25)</f>
        <v>93.3333333333333</v>
      </c>
      <c r="J25" s="20">
        <f>MAX(E25,F25,G25)</f>
        <v>60</v>
      </c>
      <c r="K25" s="20">
        <f>MIN(E25,F25,G25)</f>
        <v>50</v>
      </c>
    </row>
    <row r="26" spans="4:11">
      <c r="D26" s="107" t="s">
        <v>29</v>
      </c>
      <c r="E26" s="107">
        <v>78</v>
      </c>
      <c r="F26" s="107">
        <v>82</v>
      </c>
      <c r="G26" s="107">
        <v>80</v>
      </c>
      <c r="H26" s="71">
        <f>SUM(E26,F26,G26)</f>
        <v>240</v>
      </c>
      <c r="I26" s="111">
        <f>AVERAGE(F26,G26,H26)</f>
        <v>134</v>
      </c>
      <c r="J26" s="71">
        <f>MAX(E26,F26,G26)</f>
        <v>82</v>
      </c>
      <c r="K26" s="71">
        <f>MIN(E26,F26,G26)</f>
        <v>78</v>
      </c>
    </row>
  </sheetData>
  <mergeCells count="1">
    <mergeCell ref="A1:M2"/>
  </mergeCells>
  <pageMargins left="0.7" right="0.7" top="0.75" bottom="0.75" header="0.3" footer="0.3"/>
  <pageSetup paperSize="1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J7" sqref="J7:J13"/>
    </sheetView>
  </sheetViews>
  <sheetFormatPr defaultColWidth="9" defaultRowHeight="15"/>
  <cols>
    <col min="1" max="1" width="25.4285714285714" customWidth="1"/>
    <col min="4" max="4" width="15" customWidth="1"/>
    <col min="5" max="5" width="20.4285714285714" customWidth="1"/>
    <col min="6" max="6" width="17.8571428571429" customWidth="1"/>
    <col min="7" max="7" width="15.5714285714286" customWidth="1"/>
    <col min="8" max="8" width="16.2857142857143" customWidth="1"/>
    <col min="9" max="9" width="20.5714285714286" customWidth="1"/>
    <col min="10" max="10" width="28" customWidth="1"/>
  </cols>
  <sheetData>
    <row r="1" customHeight="1" spans="1:11">
      <c r="A1" s="95" t="s">
        <v>38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customHeight="1" spans="1:1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</row>
    <row r="5" spans="1:10">
      <c r="A5" s="96" t="s">
        <v>39</v>
      </c>
      <c r="D5" s="97" t="s">
        <v>40</v>
      </c>
      <c r="E5" s="97" t="s">
        <v>41</v>
      </c>
      <c r="F5" s="97" t="s">
        <v>42</v>
      </c>
      <c r="G5" s="97" t="s">
        <v>43</v>
      </c>
      <c r="H5" s="97" t="s">
        <v>44</v>
      </c>
      <c r="I5" s="97" t="s">
        <v>45</v>
      </c>
      <c r="J5" s="97" t="s">
        <v>46</v>
      </c>
    </row>
    <row r="6" spans="1:10">
      <c r="A6" s="37" t="s">
        <v>47</v>
      </c>
      <c r="D6" s="20">
        <v>1</v>
      </c>
      <c r="E6" s="20">
        <v>1</v>
      </c>
      <c r="F6" s="20" t="s">
        <v>48</v>
      </c>
      <c r="G6" s="20" t="s">
        <v>49</v>
      </c>
      <c r="H6" s="20" t="s">
        <v>50</v>
      </c>
      <c r="I6" s="98">
        <v>1</v>
      </c>
      <c r="J6" s="99" t="s">
        <v>51</v>
      </c>
    </row>
    <row r="7" spans="1:10">
      <c r="A7" s="37" t="s">
        <v>52</v>
      </c>
      <c r="D7" s="20">
        <v>1</v>
      </c>
      <c r="E7" s="20">
        <v>2</v>
      </c>
      <c r="F7" s="20" t="s">
        <v>53</v>
      </c>
      <c r="G7" s="20" t="s">
        <v>54</v>
      </c>
      <c r="H7" s="20" t="s">
        <v>55</v>
      </c>
      <c r="I7" s="98">
        <v>2</v>
      </c>
      <c r="J7" s="100" t="s">
        <v>48</v>
      </c>
    </row>
    <row r="8" spans="1:10">
      <c r="A8" s="37" t="s">
        <v>56</v>
      </c>
      <c r="D8" s="20">
        <v>1</v>
      </c>
      <c r="E8" s="20">
        <v>3</v>
      </c>
      <c r="F8" s="20" t="s">
        <v>57</v>
      </c>
      <c r="G8" s="20" t="s">
        <v>58</v>
      </c>
      <c r="H8" s="20" t="s">
        <v>59</v>
      </c>
      <c r="I8" s="98">
        <v>3</v>
      </c>
      <c r="J8" s="100" t="s">
        <v>53</v>
      </c>
    </row>
    <row r="9" spans="1:10">
      <c r="A9" s="37" t="s">
        <v>60</v>
      </c>
      <c r="D9" s="20">
        <v>1</v>
      </c>
      <c r="E9" s="20">
        <v>4</v>
      </c>
      <c r="F9" s="20" t="s">
        <v>61</v>
      </c>
      <c r="G9" s="20" t="s">
        <v>62</v>
      </c>
      <c r="H9" s="20" t="s">
        <v>63</v>
      </c>
      <c r="I9" s="98">
        <v>4</v>
      </c>
      <c r="J9" s="100" t="s">
        <v>57</v>
      </c>
    </row>
    <row r="10" spans="1:10">
      <c r="A10" s="37" t="s">
        <v>64</v>
      </c>
      <c r="D10" s="20">
        <v>1</v>
      </c>
      <c r="E10" s="20">
        <v>5</v>
      </c>
      <c r="F10" s="20" t="s">
        <v>65</v>
      </c>
      <c r="G10" s="20" t="s">
        <v>66</v>
      </c>
      <c r="H10" s="20" t="s">
        <v>50</v>
      </c>
      <c r="I10" s="98">
        <v>5</v>
      </c>
      <c r="J10" s="100" t="s">
        <v>61</v>
      </c>
    </row>
    <row r="11" spans="1:10">
      <c r="A11" s="37" t="s">
        <v>67</v>
      </c>
      <c r="D11" s="20">
        <v>1</v>
      </c>
      <c r="E11" s="20">
        <v>6</v>
      </c>
      <c r="F11" s="20" t="s">
        <v>68</v>
      </c>
      <c r="G11" s="20" t="s">
        <v>69</v>
      </c>
      <c r="H11" s="20" t="s">
        <v>55</v>
      </c>
      <c r="I11" s="98">
        <v>6</v>
      </c>
      <c r="J11" s="100" t="s">
        <v>65</v>
      </c>
    </row>
    <row r="12" spans="1:10">
      <c r="A12" s="37" t="s">
        <v>70</v>
      </c>
      <c r="D12" s="20">
        <v>1</v>
      </c>
      <c r="E12" s="20">
        <v>7</v>
      </c>
      <c r="F12" s="20" t="s">
        <v>51</v>
      </c>
      <c r="G12" s="20" t="s">
        <v>71</v>
      </c>
      <c r="H12" s="20" t="s">
        <v>59</v>
      </c>
      <c r="I12" s="98">
        <v>7</v>
      </c>
      <c r="J12" s="100" t="s">
        <v>68</v>
      </c>
    </row>
    <row r="13" spans="4:10">
      <c r="D13" s="20">
        <v>1</v>
      </c>
      <c r="E13" s="20">
        <v>8</v>
      </c>
      <c r="F13" s="20" t="s">
        <v>48</v>
      </c>
      <c r="G13" s="20" t="s">
        <v>72</v>
      </c>
      <c r="H13" s="20" t="s">
        <v>63</v>
      </c>
      <c r="I13" s="98">
        <v>8</v>
      </c>
      <c r="J13" s="100" t="s">
        <v>51</v>
      </c>
    </row>
  </sheetData>
  <mergeCells count="1">
    <mergeCell ref="A1:K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H20" sqref="H20"/>
    </sheetView>
  </sheetViews>
  <sheetFormatPr defaultColWidth="9" defaultRowHeight="15"/>
  <cols>
    <col min="1" max="1" width="18.4285714285714" customWidth="1"/>
    <col min="2" max="2" width="16.4285714285714" customWidth="1"/>
    <col min="4" max="4" width="15.7142857142857" customWidth="1"/>
    <col min="5" max="5" width="19.2857142857143" customWidth="1"/>
    <col min="6" max="6" width="11.2857142857143" customWidth="1"/>
    <col min="7" max="7" width="17.4285714285714" customWidth="1"/>
    <col min="8" max="8" width="17.7142857142857" customWidth="1"/>
  </cols>
  <sheetData>
    <row r="1" customHeight="1" spans="1:14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customHeight="1" spans="1:14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4" spans="1:5">
      <c r="A4" s="25" t="s">
        <v>74</v>
      </c>
      <c r="B4" s="25"/>
      <c r="C4" s="25"/>
      <c r="D4" s="25"/>
      <c r="E4" s="25"/>
    </row>
    <row r="5" ht="15.75" spans="1:2">
      <c r="A5" s="93" t="s">
        <v>75</v>
      </c>
      <c r="B5" s="94" t="s">
        <v>76</v>
      </c>
    </row>
    <row r="7" spans="1:1">
      <c r="A7" s="33"/>
    </row>
    <row r="8" spans="1:8">
      <c r="A8" s="19" t="s">
        <v>77</v>
      </c>
      <c r="B8" s="19" t="s">
        <v>78</v>
      </c>
      <c r="D8" s="19" t="s">
        <v>77</v>
      </c>
      <c r="E8" s="19" t="s">
        <v>79</v>
      </c>
      <c r="G8" s="19" t="s">
        <v>77</v>
      </c>
      <c r="H8" s="19" t="s">
        <v>80</v>
      </c>
    </row>
    <row r="9" spans="1:8">
      <c r="A9" s="20" t="s">
        <v>81</v>
      </c>
      <c r="B9" s="20">
        <v>1000</v>
      </c>
      <c r="D9" s="20" t="s">
        <v>81</v>
      </c>
      <c r="E9" s="20">
        <v>100</v>
      </c>
      <c r="G9" s="20" t="s">
        <v>81</v>
      </c>
      <c r="H9" s="20">
        <v>165</v>
      </c>
    </row>
    <row r="10" spans="1:8">
      <c r="A10" s="20" t="s">
        <v>82</v>
      </c>
      <c r="B10" s="20">
        <v>1001</v>
      </c>
      <c r="D10" s="20" t="s">
        <v>82</v>
      </c>
      <c r="E10" s="20">
        <v>101</v>
      </c>
      <c r="G10" s="20" t="s">
        <v>82</v>
      </c>
      <c r="H10" s="20">
        <v>540</v>
      </c>
    </row>
    <row r="11" spans="1:8">
      <c r="A11" s="20" t="s">
        <v>83</v>
      </c>
      <c r="B11" s="20">
        <v>1002</v>
      </c>
      <c r="D11" s="20" t="s">
        <v>83</v>
      </c>
      <c r="E11" s="20">
        <v>102</v>
      </c>
      <c r="G11" s="20" t="s">
        <v>83</v>
      </c>
      <c r="H11" s="20">
        <v>394</v>
      </c>
    </row>
    <row r="12" spans="1:8">
      <c r="A12" s="20" t="s">
        <v>84</v>
      </c>
      <c r="B12" s="20">
        <v>1003</v>
      </c>
      <c r="D12" s="20" t="s">
        <v>84</v>
      </c>
      <c r="E12" s="20">
        <v>103</v>
      </c>
      <c r="G12" s="20" t="s">
        <v>84</v>
      </c>
      <c r="H12" s="20">
        <v>307</v>
      </c>
    </row>
    <row r="13" spans="1:8">
      <c r="A13" s="20" t="s">
        <v>85</v>
      </c>
      <c r="B13" s="20">
        <v>1004</v>
      </c>
      <c r="D13" s="20" t="s">
        <v>85</v>
      </c>
      <c r="E13" s="20">
        <v>104</v>
      </c>
      <c r="G13" s="20" t="s">
        <v>85</v>
      </c>
      <c r="H13" s="20">
        <v>848</v>
      </c>
    </row>
    <row r="14" spans="1:8">
      <c r="A14" s="20" t="s">
        <v>86</v>
      </c>
      <c r="B14" s="20">
        <v>1005</v>
      </c>
      <c r="D14" s="20" t="s">
        <v>86</v>
      </c>
      <c r="E14" s="20">
        <v>105</v>
      </c>
      <c r="G14" s="20" t="s">
        <v>86</v>
      </c>
      <c r="H14" s="20">
        <v>155</v>
      </c>
    </row>
    <row r="15" spans="1:8">
      <c r="A15" s="20" t="s">
        <v>87</v>
      </c>
      <c r="B15" s="20">
        <v>1006</v>
      </c>
      <c r="D15" s="20" t="s">
        <v>87</v>
      </c>
      <c r="E15" s="20">
        <v>106</v>
      </c>
      <c r="G15" s="20" t="s">
        <v>87</v>
      </c>
      <c r="H15" s="20">
        <v>552</v>
      </c>
    </row>
    <row r="16" spans="1:8">
      <c r="A16" s="20" t="s">
        <v>88</v>
      </c>
      <c r="B16" s="20">
        <v>1007</v>
      </c>
      <c r="D16" s="20" t="s">
        <v>88</v>
      </c>
      <c r="E16" s="20">
        <v>107</v>
      </c>
      <c r="G16" s="20" t="s">
        <v>88</v>
      </c>
      <c r="H16" s="20">
        <v>635</v>
      </c>
    </row>
    <row r="21" spans="4:4">
      <c r="D21" s="57"/>
    </row>
  </sheetData>
  <mergeCells count="2">
    <mergeCell ref="A4:E4"/>
    <mergeCell ref="A1:N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K7" sqref="K7"/>
    </sheetView>
  </sheetViews>
  <sheetFormatPr defaultColWidth="9" defaultRowHeight="15"/>
  <cols>
    <col min="1" max="1" width="11.4285714285714" customWidth="1"/>
    <col min="2" max="2" width="12.5714285714286" customWidth="1"/>
    <col min="3" max="3" width="14.4285714285714" customWidth="1"/>
    <col min="4" max="4" width="18.7142857142857" customWidth="1"/>
    <col min="5" max="5" width="12.1428571428571" customWidth="1"/>
    <col min="9" max="9" width="12.1428571428571" customWidth="1"/>
    <col min="10" max="10" width="14.8571428571429" customWidth="1"/>
    <col min="11" max="11" width="13.7142857142857" customWidth="1"/>
    <col min="12" max="12" width="15" customWidth="1"/>
  </cols>
  <sheetData>
    <row r="1" ht="18.75" spans="2:12">
      <c r="B1" s="90" t="s">
        <v>89</v>
      </c>
      <c r="C1" s="90"/>
      <c r="K1" s="90" t="s">
        <v>90</v>
      </c>
      <c r="L1" s="90"/>
    </row>
    <row r="2" spans="1:14">
      <c r="A2" s="57" t="s">
        <v>91</v>
      </c>
      <c r="B2" s="57"/>
      <c r="C2" s="57"/>
      <c r="D2" s="57"/>
      <c r="E2" s="57"/>
      <c r="I2" s="20" t="s">
        <v>92</v>
      </c>
      <c r="J2" s="20"/>
      <c r="K2" s="20"/>
      <c r="L2" s="20"/>
      <c r="M2" s="20"/>
      <c r="N2" s="20"/>
    </row>
    <row r="3" spans="2:12">
      <c r="B3" s="20" t="s">
        <v>93</v>
      </c>
      <c r="C3" s="20"/>
      <c r="K3" s="20" t="s">
        <v>94</v>
      </c>
      <c r="L3" s="20"/>
    </row>
    <row r="6" spans="1:12">
      <c r="A6" s="19" t="s">
        <v>95</v>
      </c>
      <c r="B6" s="19" t="s">
        <v>96</v>
      </c>
      <c r="C6" s="19" t="s">
        <v>97</v>
      </c>
      <c r="D6" s="19" t="s">
        <v>98</v>
      </c>
      <c r="I6" s="19" t="s">
        <v>95</v>
      </c>
      <c r="J6" s="19" t="s">
        <v>96</v>
      </c>
      <c r="K6" s="19" t="s">
        <v>97</v>
      </c>
      <c r="L6" s="19" t="s">
        <v>98</v>
      </c>
    </row>
    <row r="7" spans="1:12">
      <c r="A7" s="20" t="s">
        <v>99</v>
      </c>
      <c r="B7" s="20">
        <v>10</v>
      </c>
      <c r="C7" s="20">
        <f>SUM(B7:B15)</f>
        <v>84</v>
      </c>
      <c r="D7" s="20" t="s">
        <v>51</v>
      </c>
      <c r="I7" s="20" t="s">
        <v>99</v>
      </c>
      <c r="J7" s="20">
        <v>1</v>
      </c>
      <c r="K7" s="20">
        <f>SUM(num)</f>
        <v>75</v>
      </c>
      <c r="L7" s="20" t="s">
        <v>51</v>
      </c>
    </row>
    <row r="8" spans="1:12">
      <c r="A8" s="20" t="s">
        <v>24</v>
      </c>
      <c r="B8" s="20">
        <v>2</v>
      </c>
      <c r="C8" s="20">
        <f>MIN(B7:B15)</f>
        <v>2</v>
      </c>
      <c r="D8" s="20" t="s">
        <v>48</v>
      </c>
      <c r="I8" s="20" t="s">
        <v>24</v>
      </c>
      <c r="J8" s="20">
        <v>2</v>
      </c>
      <c r="K8" s="20">
        <f>MIN(num)</f>
        <v>1</v>
      </c>
      <c r="L8" s="20" t="s">
        <v>48</v>
      </c>
    </row>
    <row r="9" spans="1:12">
      <c r="A9" s="20" t="s">
        <v>23</v>
      </c>
      <c r="B9" s="20">
        <v>3</v>
      </c>
      <c r="C9" s="20">
        <f>MAX(B7:B15)</f>
        <v>34</v>
      </c>
      <c r="D9" s="20" t="s">
        <v>53</v>
      </c>
      <c r="I9" s="20" t="s">
        <v>23</v>
      </c>
      <c r="J9" s="20">
        <v>3</v>
      </c>
      <c r="K9" s="91">
        <f>MAX(num)</f>
        <v>34</v>
      </c>
      <c r="L9" s="20" t="s">
        <v>53</v>
      </c>
    </row>
    <row r="10" spans="1:12">
      <c r="A10" s="20" t="s">
        <v>22</v>
      </c>
      <c r="B10" s="20">
        <v>34</v>
      </c>
      <c r="C10" s="91">
        <f>AVERAGE(B7:B15)</f>
        <v>9.33333333333333</v>
      </c>
      <c r="D10" s="20" t="s">
        <v>57</v>
      </c>
      <c r="I10" s="20" t="s">
        <v>22</v>
      </c>
      <c r="J10" s="20">
        <v>34</v>
      </c>
      <c r="K10" s="20">
        <f>AVERAGE(num)</f>
        <v>8.33333333333333</v>
      </c>
      <c r="L10" s="20" t="s">
        <v>57</v>
      </c>
    </row>
    <row r="11" spans="1:12">
      <c r="A11" s="20" t="s">
        <v>100</v>
      </c>
      <c r="B11" s="20">
        <v>5</v>
      </c>
      <c r="C11" s="20">
        <f>SMALL(B7:B15,2)</f>
        <v>3</v>
      </c>
      <c r="D11" s="20" t="s">
        <v>61</v>
      </c>
      <c r="I11" s="20" t="s">
        <v>100</v>
      </c>
      <c r="J11" s="20">
        <v>5</v>
      </c>
      <c r="K11" s="20">
        <f>SMALL(num,3)</f>
        <v>3</v>
      </c>
      <c r="L11" s="20" t="s">
        <v>61</v>
      </c>
    </row>
    <row r="12" spans="1:12">
      <c r="A12" s="20" t="s">
        <v>101</v>
      </c>
      <c r="B12" s="20">
        <v>6</v>
      </c>
      <c r="C12" s="20">
        <f>LARGE(B7:B15,2)</f>
        <v>10</v>
      </c>
      <c r="D12" s="20" t="s">
        <v>65</v>
      </c>
      <c r="I12" s="20" t="s">
        <v>101</v>
      </c>
      <c r="J12" s="20">
        <v>6</v>
      </c>
      <c r="K12" s="20">
        <f>LARGE(num,2)</f>
        <v>9</v>
      </c>
      <c r="L12" s="20" t="s">
        <v>65</v>
      </c>
    </row>
    <row r="13" spans="1:12">
      <c r="A13" s="20" t="s">
        <v>102</v>
      </c>
      <c r="B13" s="20">
        <v>7</v>
      </c>
      <c r="C13" s="20">
        <f>COUNT(B7:B15)</f>
        <v>9</v>
      </c>
      <c r="D13" s="20" t="s">
        <v>68</v>
      </c>
      <c r="I13" s="20" t="s">
        <v>102</v>
      </c>
      <c r="J13" s="20">
        <v>7</v>
      </c>
      <c r="K13" s="20">
        <f>COUNT(num)</f>
        <v>9</v>
      </c>
      <c r="L13" s="20" t="s">
        <v>68</v>
      </c>
    </row>
    <row r="14" spans="1:12">
      <c r="A14" s="20" t="s">
        <v>103</v>
      </c>
      <c r="B14" s="20">
        <v>8</v>
      </c>
      <c r="C14" s="20">
        <f>COUNTA(D7:D13)</f>
        <v>7</v>
      </c>
      <c r="D14" s="20"/>
      <c r="I14" s="20" t="s">
        <v>103</v>
      </c>
      <c r="J14" s="20">
        <v>8</v>
      </c>
      <c r="K14" s="20">
        <f>COUNTA(txt)</f>
        <v>7</v>
      </c>
      <c r="L14" s="20"/>
    </row>
    <row r="15" spans="1:12">
      <c r="A15" s="20" t="s">
        <v>104</v>
      </c>
      <c r="B15" s="20">
        <v>9</v>
      </c>
      <c r="C15" s="20">
        <f>COUNTBLANK(D7:D15)</f>
        <v>2</v>
      </c>
      <c r="D15" s="20"/>
      <c r="I15" s="20" t="s">
        <v>104</v>
      </c>
      <c r="J15" s="20">
        <v>9</v>
      </c>
      <c r="K15" s="20">
        <f>COUNTBLANK(txt)</f>
        <v>2</v>
      </c>
      <c r="L15" s="20"/>
    </row>
  </sheetData>
  <mergeCells count="6">
    <mergeCell ref="B1:C1"/>
    <mergeCell ref="K1:L1"/>
    <mergeCell ref="A2:E2"/>
    <mergeCell ref="I2:N2"/>
    <mergeCell ref="B3:C3"/>
    <mergeCell ref="K3:L3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O4" sqref="O4"/>
    </sheetView>
  </sheetViews>
  <sheetFormatPr defaultColWidth="9" defaultRowHeight="15"/>
  <cols>
    <col min="1" max="1" width="9.14285714285714" customWidth="1"/>
    <col min="2" max="2" width="17.5714285714286" customWidth="1"/>
    <col min="3" max="3" width="17.1428571428571" customWidth="1"/>
    <col min="6" max="6" width="12.8571428571429" customWidth="1"/>
    <col min="7" max="7" width="12.7142857142857" customWidth="1"/>
    <col min="8" max="8" width="11.7142857142857" customWidth="1"/>
    <col min="9" max="9" width="17.8571428571429" customWidth="1"/>
    <col min="10" max="10" width="13.1428571428571" customWidth="1"/>
    <col min="11" max="11" width="15.8571428571429" customWidth="1"/>
  </cols>
  <sheetData>
    <row r="1" spans="1:21">
      <c r="A1" s="75" t="s">
        <v>105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customHeight="1" spans="1:21">
      <c r="A4" s="77" t="s">
        <v>106</v>
      </c>
      <c r="B4" s="77"/>
      <c r="C4" s="77"/>
      <c r="D4" s="77"/>
      <c r="E4" s="77"/>
      <c r="F4" s="77"/>
      <c r="G4" s="77"/>
      <c r="H4" s="77"/>
      <c r="I4" s="7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1" spans="1:21">
      <c r="A5" s="78"/>
      <c r="B5" s="79" t="s">
        <v>107</v>
      </c>
      <c r="C5" s="79"/>
      <c r="D5" s="79"/>
      <c r="E5" s="78"/>
      <c r="F5" s="11"/>
      <c r="G5" s="11"/>
      <c r="H5" s="80" t="s">
        <v>108</v>
      </c>
      <c r="I5" s="80"/>
      <c r="J5" s="11"/>
      <c r="K5" s="72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87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11"/>
      <c r="B7" s="11"/>
      <c r="C7" s="11"/>
      <c r="D7" s="11"/>
      <c r="E7" s="11"/>
      <c r="F7" s="11"/>
      <c r="G7" s="60" t="s">
        <v>109</v>
      </c>
      <c r="H7" s="60" t="s">
        <v>110</v>
      </c>
      <c r="I7" s="60" t="s">
        <v>111</v>
      </c>
      <c r="J7" s="60" t="s">
        <v>112</v>
      </c>
      <c r="K7" s="87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7:11">
      <c r="G8" s="81" t="s">
        <v>113</v>
      </c>
      <c r="H8" s="81">
        <v>80</v>
      </c>
      <c r="I8" s="81">
        <v>70</v>
      </c>
      <c r="J8" s="81">
        <f>H8+I8</f>
        <v>150</v>
      </c>
      <c r="K8" s="87"/>
    </row>
    <row r="9" spans="7:10">
      <c r="G9" s="81" t="s">
        <v>114</v>
      </c>
      <c r="H9" s="81">
        <v>75</v>
      </c>
      <c r="I9" s="81">
        <v>85</v>
      </c>
      <c r="J9" s="81">
        <f>H9+I9</f>
        <v>160</v>
      </c>
    </row>
    <row r="10" spans="7:10">
      <c r="G10" s="81" t="s">
        <v>115</v>
      </c>
      <c r="H10" s="81">
        <v>60</v>
      </c>
      <c r="I10" s="81">
        <v>90</v>
      </c>
      <c r="J10" s="81">
        <f>H10+I10</f>
        <v>150</v>
      </c>
    </row>
    <row r="14" customHeight="1" spans="1:9">
      <c r="A14" s="77" t="s">
        <v>116</v>
      </c>
      <c r="B14" s="77"/>
      <c r="C14" s="77"/>
      <c r="D14" s="77"/>
      <c r="E14" s="77"/>
      <c r="F14" s="77"/>
      <c r="G14" s="77"/>
      <c r="H14" s="82"/>
      <c r="I14" s="82"/>
    </row>
    <row r="15" spans="2:2">
      <c r="B15" s="20" t="s">
        <v>117</v>
      </c>
    </row>
    <row r="16" spans="2:2">
      <c r="B16" s="20" t="s">
        <v>118</v>
      </c>
    </row>
    <row r="17" ht="21" spans="8:9">
      <c r="H17" s="80" t="s">
        <v>119</v>
      </c>
      <c r="I17" s="80"/>
    </row>
    <row r="19" spans="7:11">
      <c r="G19" s="60" t="s">
        <v>109</v>
      </c>
      <c r="H19" s="60" t="s">
        <v>110</v>
      </c>
      <c r="I19" s="60" t="s">
        <v>111</v>
      </c>
      <c r="J19" s="60" t="s">
        <v>112</v>
      </c>
      <c r="K19" s="60" t="s">
        <v>120</v>
      </c>
    </row>
    <row r="20" ht="15.75" spans="3:12">
      <c r="C20" s="83" t="s">
        <v>121</v>
      </c>
      <c r="G20" s="81" t="s">
        <v>113</v>
      </c>
      <c r="H20" s="81">
        <v>80</v>
      </c>
      <c r="I20" s="81">
        <v>70</v>
      </c>
      <c r="J20" s="81">
        <f>H20+I20</f>
        <v>150</v>
      </c>
      <c r="K20" s="88">
        <f>J20/$C$21</f>
        <v>0.75</v>
      </c>
      <c r="L20" s="89"/>
    </row>
    <row r="21" spans="3:12">
      <c r="C21" s="20">
        <v>200</v>
      </c>
      <c r="G21" s="81" t="s">
        <v>114</v>
      </c>
      <c r="H21" s="81">
        <v>75</v>
      </c>
      <c r="I21" s="81">
        <v>85</v>
      </c>
      <c r="J21" s="81">
        <f>H21+I21</f>
        <v>160</v>
      </c>
      <c r="K21" s="88">
        <f>J21/$C$21</f>
        <v>0.8</v>
      </c>
      <c r="L21" s="89"/>
    </row>
    <row r="22" spans="7:12">
      <c r="G22" s="81" t="s">
        <v>115</v>
      </c>
      <c r="H22" s="81">
        <v>60</v>
      </c>
      <c r="I22" s="81">
        <v>90</v>
      </c>
      <c r="J22" s="81">
        <f>H22+I22</f>
        <v>150</v>
      </c>
      <c r="K22" s="88">
        <f>J22/$C$21</f>
        <v>0.75</v>
      </c>
      <c r="L22" s="89"/>
    </row>
    <row r="25" ht="21" spans="1:9">
      <c r="A25" s="21" t="s">
        <v>122</v>
      </c>
      <c r="B25" s="84"/>
      <c r="C25" s="84"/>
      <c r="D25" s="84"/>
      <c r="E25" s="85"/>
      <c r="H25" s="80" t="s">
        <v>123</v>
      </c>
      <c r="I25" s="80"/>
    </row>
    <row r="26" spans="2:3">
      <c r="B26" s="86" t="s">
        <v>124</v>
      </c>
      <c r="C26" s="86"/>
    </row>
    <row r="27" spans="2:3">
      <c r="B27" s="86" t="s">
        <v>125</v>
      </c>
      <c r="C27" s="86"/>
    </row>
    <row r="29" spans="7:11">
      <c r="G29" s="60">
        <v>1</v>
      </c>
      <c r="H29" s="60">
        <v>2</v>
      </c>
      <c r="I29" s="60">
        <v>3</v>
      </c>
      <c r="J29" s="60">
        <v>4</v>
      </c>
      <c r="K29" s="60">
        <v>5</v>
      </c>
    </row>
    <row r="30" spans="6:11">
      <c r="F30" s="60">
        <v>10</v>
      </c>
      <c r="G30" s="20">
        <f>$F30*G$29</f>
        <v>10</v>
      </c>
      <c r="H30" s="20">
        <f>$F30*H$29</f>
        <v>20</v>
      </c>
      <c r="I30" s="20">
        <f>$F30*I$29</f>
        <v>30</v>
      </c>
      <c r="J30" s="20">
        <f>$F30*J$29</f>
        <v>40</v>
      </c>
      <c r="K30" s="20">
        <f>$F30*K$29</f>
        <v>50</v>
      </c>
    </row>
    <row r="31" spans="6:11">
      <c r="F31" s="60">
        <v>20</v>
      </c>
      <c r="G31" s="20">
        <f t="shared" ref="G31:K34" si="0">$F31*G$29</f>
        <v>20</v>
      </c>
      <c r="H31" s="20">
        <f t="shared" si="0"/>
        <v>40</v>
      </c>
      <c r="I31" s="20">
        <f t="shared" si="0"/>
        <v>60</v>
      </c>
      <c r="J31" s="20">
        <f t="shared" si="0"/>
        <v>80</v>
      </c>
      <c r="K31" s="20">
        <f t="shared" si="0"/>
        <v>100</v>
      </c>
    </row>
    <row r="32" spans="6:11">
      <c r="F32" s="60">
        <v>30</v>
      </c>
      <c r="G32" s="20">
        <f t="shared" si="0"/>
        <v>30</v>
      </c>
      <c r="H32" s="20">
        <f t="shared" si="0"/>
        <v>60</v>
      </c>
      <c r="I32" s="20">
        <f t="shared" si="0"/>
        <v>90</v>
      </c>
      <c r="J32" s="20">
        <f t="shared" si="0"/>
        <v>120</v>
      </c>
      <c r="K32" s="20">
        <f t="shared" si="0"/>
        <v>150</v>
      </c>
    </row>
    <row r="33" spans="6:11">
      <c r="F33" s="60">
        <v>40</v>
      </c>
      <c r="G33" s="20">
        <f t="shared" si="0"/>
        <v>40</v>
      </c>
      <c r="H33" s="20">
        <f t="shared" si="0"/>
        <v>80</v>
      </c>
      <c r="I33" s="20">
        <f t="shared" si="0"/>
        <v>120</v>
      </c>
      <c r="J33" s="20">
        <f t="shared" si="0"/>
        <v>160</v>
      </c>
      <c r="K33" s="20">
        <f t="shared" si="0"/>
        <v>200</v>
      </c>
    </row>
    <row r="34" spans="6:11">
      <c r="F34" s="60">
        <v>50</v>
      </c>
      <c r="G34" s="20">
        <f t="shared" si="0"/>
        <v>50</v>
      </c>
      <c r="H34" s="20">
        <f t="shared" si="0"/>
        <v>100</v>
      </c>
      <c r="I34" s="20">
        <f t="shared" si="0"/>
        <v>150</v>
      </c>
      <c r="J34" s="20">
        <f t="shared" si="0"/>
        <v>200</v>
      </c>
      <c r="K34" s="20">
        <f t="shared" si="0"/>
        <v>250</v>
      </c>
    </row>
  </sheetData>
  <mergeCells count="10">
    <mergeCell ref="A4:I4"/>
    <mergeCell ref="B5:D5"/>
    <mergeCell ref="H5:I5"/>
    <mergeCell ref="A14:G14"/>
    <mergeCell ref="H17:I17"/>
    <mergeCell ref="A25:E25"/>
    <mergeCell ref="H25:I25"/>
    <mergeCell ref="B26:C26"/>
    <mergeCell ref="B27:C27"/>
    <mergeCell ref="A1:U2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opLeftCell="A9" workbookViewId="0">
      <selection activeCell="L6" sqref="L6"/>
    </sheetView>
  </sheetViews>
  <sheetFormatPr defaultColWidth="9" defaultRowHeight="15"/>
  <cols>
    <col min="1" max="1" width="13.8571428571429" customWidth="1"/>
    <col min="2" max="2" width="11.4285714285714" customWidth="1"/>
    <col min="6" max="6" width="12.1428571428571" customWidth="1"/>
    <col min="7" max="7" width="14.5714285714286" customWidth="1"/>
    <col min="8" max="8" width="19.4285714285714" customWidth="1"/>
    <col min="9" max="9" width="16.5714285714286" customWidth="1"/>
    <col min="10" max="10" width="28.5714285714286" customWidth="1"/>
    <col min="11" max="11" width="22.5714285714286" customWidth="1"/>
    <col min="12" max="12" width="24.4285714285714" customWidth="1"/>
  </cols>
  <sheetData>
    <row r="1" ht="23.25" spans="1:11">
      <c r="A1" s="69"/>
      <c r="H1" s="70" t="s">
        <v>126</v>
      </c>
      <c r="I1" s="70"/>
      <c r="J1" s="70"/>
      <c r="K1" s="70"/>
    </row>
    <row r="3" spans="1:6">
      <c r="A3" s="18" t="s">
        <v>127</v>
      </c>
      <c r="B3" s="18"/>
      <c r="C3" s="18"/>
      <c r="D3" s="18"/>
      <c r="E3" s="18"/>
      <c r="F3" s="18"/>
    </row>
    <row r="4" spans="1:12">
      <c r="A4" s="20" t="s">
        <v>128</v>
      </c>
      <c r="B4" s="20"/>
      <c r="C4" s="20"/>
      <c r="D4" s="20"/>
      <c r="E4" s="20"/>
      <c r="H4" s="60" t="s">
        <v>129</v>
      </c>
      <c r="I4" s="60" t="s">
        <v>130</v>
      </c>
      <c r="J4" s="60" t="s">
        <v>131</v>
      </c>
      <c r="K4" s="74" t="s">
        <v>132</v>
      </c>
      <c r="L4" s="60" t="s">
        <v>133</v>
      </c>
    </row>
    <row r="5" spans="8:12">
      <c r="H5" s="35" t="s">
        <v>25</v>
      </c>
      <c r="I5" s="35">
        <v>85</v>
      </c>
      <c r="J5" s="35">
        <v>92</v>
      </c>
      <c r="K5" s="20" t="str">
        <f>IF(I5&gt;40,"Pass","Fail")</f>
        <v>Pass</v>
      </c>
      <c r="L5" s="20" t="str">
        <f>IF(J5&gt;70,"Allow","NotAllow")</f>
        <v>Allow</v>
      </c>
    </row>
    <row r="6" spans="1:12">
      <c r="A6" s="71" t="s">
        <v>134</v>
      </c>
      <c r="B6" s="71"/>
      <c r="C6" s="71"/>
      <c r="D6" s="71"/>
      <c r="E6" s="71"/>
      <c r="H6" s="35" t="s">
        <v>26</v>
      </c>
      <c r="I6" s="35">
        <v>72</v>
      </c>
      <c r="J6" s="35">
        <v>88</v>
      </c>
      <c r="K6" s="20" t="str">
        <f>IF(I6&gt;40,"Pass","Fail")</f>
        <v>Pass</v>
      </c>
      <c r="L6" s="20" t="str">
        <f>IF(J6&gt;70,"Allow","NotAllow")</f>
        <v>Allow</v>
      </c>
    </row>
    <row r="7" spans="1:12">
      <c r="A7" s="18" t="s">
        <v>135</v>
      </c>
      <c r="B7" s="18"/>
      <c r="C7" s="18"/>
      <c r="D7" s="18"/>
      <c r="E7" s="18"/>
      <c r="F7" s="18"/>
      <c r="G7" s="72"/>
      <c r="H7" s="35" t="s">
        <v>27</v>
      </c>
      <c r="I7" s="35">
        <v>60</v>
      </c>
      <c r="J7" s="35">
        <v>95</v>
      </c>
      <c r="K7" s="20" t="str">
        <f>IF(I7&gt;40,"Pass","Fail")</f>
        <v>Pass</v>
      </c>
      <c r="L7" s="20" t="str">
        <f>IF(J7&gt;70,"Allow","NotAllow")</f>
        <v>Allow</v>
      </c>
    </row>
    <row r="8" spans="7:12">
      <c r="G8" s="73"/>
      <c r="H8" s="35" t="s">
        <v>28</v>
      </c>
      <c r="I8" s="35">
        <v>45</v>
      </c>
      <c r="J8" s="35">
        <v>70</v>
      </c>
      <c r="K8" s="20" t="str">
        <f>IF(I8&gt;40,"Pass","Fail")</f>
        <v>Pass</v>
      </c>
      <c r="L8" s="20" t="str">
        <f>IF(J8&gt;70,"Allow","NotAllow")</f>
        <v>NotAllow</v>
      </c>
    </row>
    <row r="9" spans="7:12">
      <c r="G9" s="73"/>
      <c r="H9" s="35" t="s">
        <v>29</v>
      </c>
      <c r="I9" s="35">
        <v>30</v>
      </c>
      <c r="J9" s="35">
        <v>85</v>
      </c>
      <c r="K9" s="20" t="str">
        <f>IF(I9&gt;40,"Pass","Fail")</f>
        <v>Fail</v>
      </c>
      <c r="L9" s="20" t="str">
        <f>IF(J9&gt;70,"Allow","NotAllow")</f>
        <v>Allow</v>
      </c>
    </row>
    <row r="10" spans="7:9">
      <c r="G10" s="73"/>
      <c r="H10" s="73"/>
      <c r="I10" s="73"/>
    </row>
    <row r="11" spans="7:9">
      <c r="G11" s="73"/>
      <c r="H11" s="73"/>
      <c r="I11" s="73"/>
    </row>
    <row r="12" spans="7:9">
      <c r="G12" s="73"/>
      <c r="H12" s="73"/>
      <c r="I12" s="73"/>
    </row>
    <row r="13" ht="23.25" spans="8:11">
      <c r="H13" s="70" t="s">
        <v>136</v>
      </c>
      <c r="I13" s="70"/>
      <c r="J13" s="70"/>
      <c r="K13" s="70"/>
    </row>
    <row r="16" spans="1:11">
      <c r="A16" s="20" t="s">
        <v>137</v>
      </c>
      <c r="B16" s="20"/>
      <c r="C16" s="20"/>
      <c r="D16" s="20"/>
      <c r="E16" s="20"/>
      <c r="H16" s="60" t="s">
        <v>129</v>
      </c>
      <c r="I16" s="60" t="s">
        <v>130</v>
      </c>
      <c r="J16" s="60" t="s">
        <v>131</v>
      </c>
      <c r="K16" s="74" t="s">
        <v>132</v>
      </c>
    </row>
    <row r="17" spans="1:11">
      <c r="A17" s="48" t="s">
        <v>138</v>
      </c>
      <c r="B17" s="48"/>
      <c r="C17" s="48"/>
      <c r="H17" s="35" t="s">
        <v>25</v>
      </c>
      <c r="I17" s="35">
        <v>85</v>
      </c>
      <c r="J17" s="35">
        <v>92</v>
      </c>
      <c r="K17" s="20" t="str">
        <f>IF(I17&gt;75,"E",IF(I17&gt;50,"P","F"))</f>
        <v>E</v>
      </c>
    </row>
    <row r="18" spans="1:11">
      <c r="A18" s="48" t="s">
        <v>139</v>
      </c>
      <c r="B18" s="48"/>
      <c r="C18" s="48"/>
      <c r="H18" s="35" t="s">
        <v>26</v>
      </c>
      <c r="I18" s="35">
        <v>72</v>
      </c>
      <c r="J18" s="35">
        <v>88</v>
      </c>
      <c r="K18" s="20" t="str">
        <f>IF(I18&gt;75,"E",IF(I18&gt;50,"P","F"))</f>
        <v>P</v>
      </c>
    </row>
    <row r="19" spans="1:11">
      <c r="A19" s="48" t="s">
        <v>140</v>
      </c>
      <c r="B19" s="48"/>
      <c r="C19" s="48"/>
      <c r="H19" s="35" t="s">
        <v>27</v>
      </c>
      <c r="I19" s="35">
        <v>60</v>
      </c>
      <c r="J19" s="35">
        <v>95</v>
      </c>
      <c r="K19" s="20" t="str">
        <f>IF(I19&gt;75,"E",IF(I19&gt;50,"P","F"))</f>
        <v>P</v>
      </c>
    </row>
    <row r="20" spans="8:11">
      <c r="H20" s="35" t="s">
        <v>28</v>
      </c>
      <c r="I20" s="35">
        <v>45</v>
      </c>
      <c r="J20" s="35">
        <v>70</v>
      </c>
      <c r="K20" s="20" t="str">
        <f>IF(I20&gt;75,"E",IF(I20&gt;50,"P","F"))</f>
        <v>F</v>
      </c>
    </row>
    <row r="21" spans="8:11">
      <c r="H21" s="35" t="s">
        <v>29</v>
      </c>
      <c r="I21" s="35">
        <v>30</v>
      </c>
      <c r="J21" s="35">
        <v>85</v>
      </c>
      <c r="K21" s="20" t="str">
        <f>IF(I21&gt;75,"E",IF(I21&gt;50,"P","F"))</f>
        <v>F</v>
      </c>
    </row>
  </sheetData>
  <mergeCells count="5">
    <mergeCell ref="H1:K1"/>
    <mergeCell ref="A4:E4"/>
    <mergeCell ref="A6:E6"/>
    <mergeCell ref="H13:K13"/>
    <mergeCell ref="A16:E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opLeftCell="B22" workbookViewId="0">
      <selection activeCell="O23" sqref="O23"/>
    </sheetView>
  </sheetViews>
  <sheetFormatPr defaultColWidth="9" defaultRowHeight="15"/>
  <cols>
    <col min="9" max="9" width="20.5714285714286" customWidth="1"/>
    <col min="10" max="10" width="20.1428571428571" customWidth="1"/>
    <col min="11" max="11" width="22.2857142857143" customWidth="1"/>
    <col min="12" max="12" width="20.2857142857143" customWidth="1"/>
    <col min="13" max="13" width="13.8571428571429" customWidth="1"/>
    <col min="14" max="14" width="14.7142857142857" customWidth="1"/>
  </cols>
  <sheetData>
    <row r="1" ht="21" spans="1:15">
      <c r="A1" s="68" t="s">
        <v>141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7">
      <c r="A2" s="67" t="s">
        <v>142</v>
      </c>
      <c r="B2" s="67"/>
      <c r="C2" s="67"/>
      <c r="D2" s="67"/>
      <c r="E2" s="67"/>
      <c r="F2" s="67"/>
      <c r="G2" s="67"/>
    </row>
    <row r="3" spans="1:3">
      <c r="A3" s="57"/>
      <c r="B3" s="48" t="s">
        <v>143</v>
      </c>
      <c r="C3" s="48"/>
    </row>
    <row r="4" spans="9:15">
      <c r="I4" s="60" t="s">
        <v>144</v>
      </c>
      <c r="J4" s="60" t="s">
        <v>145</v>
      </c>
      <c r="K4" s="60" t="s">
        <v>146</v>
      </c>
      <c r="L4" s="60" t="s">
        <v>131</v>
      </c>
      <c r="M4" s="60" t="s">
        <v>147</v>
      </c>
      <c r="N4" s="60" t="s">
        <v>148</v>
      </c>
      <c r="O4" s="60" t="s">
        <v>149</v>
      </c>
    </row>
    <row r="5" spans="9:15">
      <c r="I5" s="35" t="s">
        <v>25</v>
      </c>
      <c r="J5" s="35">
        <v>30000</v>
      </c>
      <c r="K5" s="35">
        <v>3</v>
      </c>
      <c r="L5" s="35">
        <v>90</v>
      </c>
      <c r="M5" s="18" t="b">
        <f>AND(K5&gt;=3,L5&gt;=75)</f>
        <v>1</v>
      </c>
      <c r="N5" s="18" t="b">
        <f>OR(J5&gt;35000,L5&gt;=90)</f>
        <v>1</v>
      </c>
      <c r="O5" s="18" t="b">
        <f>NOT(K5&lt;2)</f>
        <v>1</v>
      </c>
    </row>
    <row r="6" spans="1:15">
      <c r="A6" s="67" t="s">
        <v>150</v>
      </c>
      <c r="B6" s="67"/>
      <c r="C6" s="67"/>
      <c r="D6" s="67"/>
      <c r="E6" s="67"/>
      <c r="F6" s="67"/>
      <c r="G6" s="67"/>
      <c r="H6" s="48"/>
      <c r="I6" s="35" t="s">
        <v>26</v>
      </c>
      <c r="J6" s="35">
        <v>25000</v>
      </c>
      <c r="K6" s="35">
        <v>1</v>
      </c>
      <c r="L6" s="35">
        <v>85</v>
      </c>
      <c r="M6" s="18" t="b">
        <f>AND(K6&gt;=3,L6&gt;=75)</f>
        <v>0</v>
      </c>
      <c r="N6" s="18" t="b">
        <f>OR(J6&gt;35000,L6&gt;=90)</f>
        <v>0</v>
      </c>
      <c r="O6" s="18" t="b">
        <f>NOT(K6&lt;2)</f>
        <v>0</v>
      </c>
    </row>
    <row r="7" spans="2:15">
      <c r="B7" s="48" t="s">
        <v>151</v>
      </c>
      <c r="I7" s="35" t="s">
        <v>27</v>
      </c>
      <c r="J7" s="35">
        <v>40000</v>
      </c>
      <c r="K7" s="35">
        <v>5</v>
      </c>
      <c r="L7" s="35">
        <v>95</v>
      </c>
      <c r="M7" s="18" t="b">
        <f>AND(K7&gt;=3,L7&gt;=75)</f>
        <v>1</v>
      </c>
      <c r="N7" s="18" t="b">
        <f>OR(J7&gt;35000,L7&gt;=90)</f>
        <v>1</v>
      </c>
      <c r="O7" s="18" t="b">
        <f>NOT(K7&lt;2)</f>
        <v>1</v>
      </c>
    </row>
    <row r="8" spans="9:15">
      <c r="I8" s="35" t="s">
        <v>28</v>
      </c>
      <c r="J8" s="35">
        <v>20000</v>
      </c>
      <c r="K8" s="35">
        <v>2</v>
      </c>
      <c r="L8" s="35">
        <v>70</v>
      </c>
      <c r="M8" s="18" t="b">
        <f>AND(K8&gt;=3,L8&gt;=75)</f>
        <v>0</v>
      </c>
      <c r="N8" s="18" t="b">
        <f>OR(J8&gt;35000,L8&gt;=90)</f>
        <v>0</v>
      </c>
      <c r="O8" s="18" t="b">
        <f>NOT(K8&lt;2)</f>
        <v>1</v>
      </c>
    </row>
    <row r="9" spans="9:15">
      <c r="I9" s="35" t="s">
        <v>29</v>
      </c>
      <c r="J9" s="35">
        <v>35000</v>
      </c>
      <c r="K9" s="35">
        <v>4</v>
      </c>
      <c r="L9" s="35">
        <v>88</v>
      </c>
      <c r="M9" s="18" t="b">
        <f>AND(K9&gt;=3,L9&gt;=75)</f>
        <v>1</v>
      </c>
      <c r="N9" s="18" t="b">
        <f>OR(J9&gt;35000,L9&gt;=90)</f>
        <v>0</v>
      </c>
      <c r="O9" s="18" t="b">
        <f>NOT(K9&lt;2)</f>
        <v>1</v>
      </c>
    </row>
    <row r="10" spans="1:7">
      <c r="A10" s="67" t="s">
        <v>152</v>
      </c>
      <c r="B10" s="67"/>
      <c r="C10" s="67"/>
      <c r="D10" s="67"/>
      <c r="E10" s="67"/>
      <c r="F10" s="67"/>
      <c r="G10" s="67"/>
    </row>
    <row r="14" spans="1:1">
      <c r="A14" t="s">
        <v>153</v>
      </c>
    </row>
    <row r="15" spans="1:1">
      <c r="A15" t="s">
        <v>154</v>
      </c>
    </row>
    <row r="16" spans="1:1">
      <c r="A16" t="s">
        <v>155</v>
      </c>
    </row>
    <row r="19" ht="21" spans="1:15">
      <c r="A19" s="68" t="s">
        <v>156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</row>
    <row r="22" spans="9:15">
      <c r="I22" s="60" t="s">
        <v>144</v>
      </c>
      <c r="J22" s="60" t="s">
        <v>145</v>
      </c>
      <c r="K22" s="60" t="s">
        <v>146</v>
      </c>
      <c r="L22" s="60" t="s">
        <v>131</v>
      </c>
      <c r="M22" s="60" t="s">
        <v>147</v>
      </c>
      <c r="N22" s="60" t="s">
        <v>148</v>
      </c>
      <c r="O22" s="60" t="s">
        <v>149</v>
      </c>
    </row>
    <row r="23" spans="9:15">
      <c r="I23" s="35" t="s">
        <v>25</v>
      </c>
      <c r="J23" s="35">
        <v>30000</v>
      </c>
      <c r="K23" s="35">
        <v>3</v>
      </c>
      <c r="L23" s="35">
        <v>90</v>
      </c>
      <c r="M23" s="18" t="str">
        <f>IF(AND(K23&gt;=3,L23&gt;=75),"Bonus","No Bonus")</f>
        <v>Bonus</v>
      </c>
      <c r="N23" s="18" t="str">
        <f>IF(OR(J23&gt;35000,L23&gt;=90),"Allow","Not Allow")</f>
        <v>Allow</v>
      </c>
      <c r="O23" s="18" t="str">
        <f>IF(NOT(K23&gt;=3),"F","E")</f>
        <v>E</v>
      </c>
    </row>
    <row r="24" spans="9:15">
      <c r="I24" s="35" t="s">
        <v>26</v>
      </c>
      <c r="J24" s="35">
        <v>25000</v>
      </c>
      <c r="K24" s="35">
        <v>1</v>
      </c>
      <c r="L24" s="35">
        <v>85</v>
      </c>
      <c r="M24" s="18" t="str">
        <f>IF(AND(K24&gt;=3,L24&gt;=75),"Bonus","No Bonus")</f>
        <v>No Bonus</v>
      </c>
      <c r="N24" s="18" t="str">
        <f>IF(OR(J24&gt;35000,L24&gt;=90),"Allow","Not Allow")</f>
        <v>Not Allow</v>
      </c>
      <c r="O24" s="18" t="str">
        <f>IF(NOT(K24&gt;=3),"F","E")</f>
        <v>F</v>
      </c>
    </row>
    <row r="25" spans="9:15">
      <c r="I25" s="35" t="s">
        <v>27</v>
      </c>
      <c r="J25" s="35">
        <v>40000</v>
      </c>
      <c r="K25" s="35">
        <v>5</v>
      </c>
      <c r="L25" s="35">
        <v>95</v>
      </c>
      <c r="M25" s="18" t="str">
        <f>IF(AND(K25&gt;=3,L25&gt;=75),"Bonus","No Bonus")</f>
        <v>Bonus</v>
      </c>
      <c r="N25" s="18" t="str">
        <f>IF(OR(J25&gt;35000,L25&gt;=90),"Allow","Not Allow")</f>
        <v>Allow</v>
      </c>
      <c r="O25" s="18" t="str">
        <f>IF(NOT(K25&gt;=3),"F","E")</f>
        <v>E</v>
      </c>
    </row>
    <row r="26" spans="9:15">
      <c r="I26" s="35" t="s">
        <v>28</v>
      </c>
      <c r="J26" s="35">
        <v>20000</v>
      </c>
      <c r="K26" s="35">
        <v>2</v>
      </c>
      <c r="L26" s="35">
        <v>70</v>
      </c>
      <c r="M26" s="18" t="str">
        <f>IF(AND(K26&gt;=3,L26&gt;=75),"Bonus","No Bonus")</f>
        <v>No Bonus</v>
      </c>
      <c r="N26" s="18" t="str">
        <f>IF(OR(J26&gt;35000,L26&gt;=90),"Allow","Not Allow")</f>
        <v>Not Allow</v>
      </c>
      <c r="O26" s="18" t="str">
        <f>IF(NOT(K26&gt;=3),"F","E")</f>
        <v>F</v>
      </c>
    </row>
    <row r="27" spans="9:15">
      <c r="I27" s="35" t="s">
        <v>29</v>
      </c>
      <c r="J27" s="35">
        <v>35000</v>
      </c>
      <c r="K27" s="35">
        <v>4</v>
      </c>
      <c r="L27" s="35">
        <v>88</v>
      </c>
      <c r="M27" s="18" t="str">
        <f>IF(AND(K27&gt;=3,L27&gt;=75),"Bonus","No Bonus")</f>
        <v>Bonus</v>
      </c>
      <c r="N27" s="18" t="str">
        <f>IF(OR(J27&gt;35000,L27&gt;=90),"Allow","Not Allow")</f>
        <v>Not Allow</v>
      </c>
      <c r="O27" s="18" t="str">
        <f>IF(NOT(K27&gt;=3),"F","E")</f>
        <v>E</v>
      </c>
    </row>
    <row r="30" spans="1:1">
      <c r="A30" t="s">
        <v>153</v>
      </c>
    </row>
    <row r="31" spans="1:1">
      <c r="A31" t="s">
        <v>157</v>
      </c>
    </row>
    <row r="34" spans="1:1">
      <c r="A34" t="s">
        <v>154</v>
      </c>
    </row>
    <row r="35" spans="1:1">
      <c r="A35" t="s">
        <v>158</v>
      </c>
    </row>
    <row r="38" spans="1:1">
      <c r="A38" t="s">
        <v>155</v>
      </c>
    </row>
    <row r="39" spans="1:1">
      <c r="A39" t="s">
        <v>159</v>
      </c>
    </row>
  </sheetData>
  <mergeCells count="5">
    <mergeCell ref="A1:O1"/>
    <mergeCell ref="A2:G2"/>
    <mergeCell ref="A6:G6"/>
    <mergeCell ref="A10:G10"/>
    <mergeCell ref="A19:O19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topLeftCell="E35" workbookViewId="0">
      <selection activeCell="H43" sqref="H36:O54"/>
    </sheetView>
  </sheetViews>
  <sheetFormatPr defaultColWidth="9" defaultRowHeight="15"/>
  <cols>
    <col min="5" max="5" width="32" customWidth="1"/>
    <col min="6" max="6" width="13.4285714285714" customWidth="1"/>
    <col min="7" max="7" width="11.7142857142857" customWidth="1"/>
    <col min="8" max="8" width="16.5714285714286" customWidth="1"/>
    <col min="10" max="10" width="14.1428571428571" customWidth="1"/>
    <col min="11" max="11" width="11.1428571428571" customWidth="1"/>
    <col min="12" max="12" width="12.8571428571429" customWidth="1"/>
    <col min="14" max="14" width="14.4285714285714" customWidth="1"/>
    <col min="15" max="15" width="11.4285714285714" customWidth="1"/>
  </cols>
  <sheetData>
    <row r="1" spans="1:20">
      <c r="A1" s="24" t="s">
        <v>160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ht="16.5" customHeight="1"/>
    <row r="4" ht="17.25" customHeight="1" spans="1:15">
      <c r="A4" s="59" t="s">
        <v>161</v>
      </c>
      <c r="B4" s="59"/>
      <c r="C4" s="59"/>
      <c r="D4" s="59"/>
      <c r="E4" s="59"/>
      <c r="F4" s="48"/>
      <c r="H4" s="60" t="s">
        <v>162</v>
      </c>
      <c r="I4" s="60" t="s">
        <v>163</v>
      </c>
      <c r="J4" s="60" t="s">
        <v>164</v>
      </c>
      <c r="K4" s="60" t="s">
        <v>165</v>
      </c>
      <c r="L4" s="60" t="s">
        <v>166</v>
      </c>
      <c r="M4" s="60" t="s">
        <v>145</v>
      </c>
      <c r="N4" s="60" t="s">
        <v>167</v>
      </c>
      <c r="O4" s="60" t="s">
        <v>168</v>
      </c>
    </row>
    <row r="5" spans="1:15">
      <c r="A5" s="61" t="s">
        <v>169</v>
      </c>
      <c r="B5" s="61"/>
      <c r="C5" s="61"/>
      <c r="D5" s="61"/>
      <c r="E5" s="61"/>
      <c r="F5" s="48"/>
      <c r="H5" s="35">
        <v>101</v>
      </c>
      <c r="I5" s="35" t="s">
        <v>25</v>
      </c>
      <c r="J5" s="35" t="s">
        <v>170</v>
      </c>
      <c r="K5" s="35" t="s">
        <v>171</v>
      </c>
      <c r="L5" s="35">
        <v>2</v>
      </c>
      <c r="M5" s="35">
        <v>25000</v>
      </c>
      <c r="N5" s="35" t="s">
        <v>172</v>
      </c>
      <c r="O5" s="35">
        <v>4</v>
      </c>
    </row>
    <row r="6" spans="1:15">
      <c r="A6" s="62" t="s">
        <v>173</v>
      </c>
      <c r="B6" s="63"/>
      <c r="C6" s="63"/>
      <c r="D6" s="63"/>
      <c r="E6" s="64"/>
      <c r="H6" s="35">
        <v>102</v>
      </c>
      <c r="I6" s="35" t="s">
        <v>26</v>
      </c>
      <c r="J6" s="35" t="s">
        <v>174</v>
      </c>
      <c r="K6" s="35" t="s">
        <v>175</v>
      </c>
      <c r="L6" s="35">
        <v>5</v>
      </c>
      <c r="M6" s="35">
        <v>45000</v>
      </c>
      <c r="N6" s="35" t="s">
        <v>176</v>
      </c>
      <c r="O6" s="35">
        <v>5</v>
      </c>
    </row>
    <row r="7" spans="8:15">
      <c r="H7" s="35">
        <v>103</v>
      </c>
      <c r="I7" s="35" t="s">
        <v>27</v>
      </c>
      <c r="J7" s="35" t="s">
        <v>177</v>
      </c>
      <c r="K7" s="35" t="s">
        <v>171</v>
      </c>
      <c r="L7" s="35">
        <v>3</v>
      </c>
      <c r="M7" s="35">
        <v>30000</v>
      </c>
      <c r="N7" s="35" t="s">
        <v>178</v>
      </c>
      <c r="O7" s="35">
        <v>3</v>
      </c>
    </row>
    <row r="8" spans="8:15">
      <c r="H8" s="35">
        <v>104</v>
      </c>
      <c r="I8" s="35" t="s">
        <v>28</v>
      </c>
      <c r="J8" s="35" t="s">
        <v>174</v>
      </c>
      <c r="K8" s="35" t="s">
        <v>175</v>
      </c>
      <c r="L8" s="35">
        <v>6</v>
      </c>
      <c r="M8" s="35">
        <v>50000</v>
      </c>
      <c r="N8" s="35" t="s">
        <v>172</v>
      </c>
      <c r="O8" s="35">
        <v>4</v>
      </c>
    </row>
    <row r="9" spans="1:15">
      <c r="A9" s="65" t="s">
        <v>179</v>
      </c>
      <c r="B9" s="66"/>
      <c r="C9" s="66"/>
      <c r="D9" s="66"/>
      <c r="E9" s="66"/>
      <c r="H9" s="35">
        <v>105</v>
      </c>
      <c r="I9" s="35" t="s">
        <v>180</v>
      </c>
      <c r="J9" s="35" t="s">
        <v>170</v>
      </c>
      <c r="K9" s="35" t="s">
        <v>171</v>
      </c>
      <c r="L9" s="35">
        <v>4</v>
      </c>
      <c r="M9" s="35">
        <v>35000</v>
      </c>
      <c r="N9" s="35" t="s">
        <v>176</v>
      </c>
      <c r="O9" s="35">
        <v>5</v>
      </c>
    </row>
    <row r="10" spans="8:15">
      <c r="H10" s="35">
        <v>106</v>
      </c>
      <c r="I10" s="35" t="s">
        <v>181</v>
      </c>
      <c r="J10" s="35" t="s">
        <v>182</v>
      </c>
      <c r="K10" s="35" t="s">
        <v>175</v>
      </c>
      <c r="L10" s="35">
        <v>2</v>
      </c>
      <c r="M10" s="35">
        <v>22000</v>
      </c>
      <c r="N10" s="35" t="s">
        <v>178</v>
      </c>
      <c r="O10" s="35">
        <v>2</v>
      </c>
    </row>
    <row r="11" spans="1:15">
      <c r="A11" t="s">
        <v>183</v>
      </c>
      <c r="F11">
        <f>COUNT(L5:L22)</f>
        <v>18</v>
      </c>
      <c r="H11" s="35">
        <v>107</v>
      </c>
      <c r="I11" s="35" t="s">
        <v>184</v>
      </c>
      <c r="J11" s="35" t="s">
        <v>177</v>
      </c>
      <c r="K11" s="35" t="s">
        <v>171</v>
      </c>
      <c r="L11" s="35">
        <v>7</v>
      </c>
      <c r="M11" s="35">
        <v>60000</v>
      </c>
      <c r="N11" s="35" t="s">
        <v>172</v>
      </c>
      <c r="O11" s="35">
        <v>5</v>
      </c>
    </row>
    <row r="12" spans="1:15">
      <c r="A12" s="67" t="s">
        <v>185</v>
      </c>
      <c r="F12">
        <f>COUNT(O5:O22)</f>
        <v>18</v>
      </c>
      <c r="H12" s="35">
        <v>109</v>
      </c>
      <c r="I12" s="35" t="s">
        <v>29</v>
      </c>
      <c r="J12" s="35" t="s">
        <v>182</v>
      </c>
      <c r="K12" s="35" t="s">
        <v>171</v>
      </c>
      <c r="L12" s="35">
        <v>5</v>
      </c>
      <c r="M12" s="35">
        <v>40000</v>
      </c>
      <c r="N12" s="35" t="s">
        <v>178</v>
      </c>
      <c r="O12" s="35">
        <v>4</v>
      </c>
    </row>
    <row r="13" spans="8:15">
      <c r="H13" s="35">
        <v>110</v>
      </c>
      <c r="I13" s="35" t="s">
        <v>186</v>
      </c>
      <c r="J13" s="35" t="s">
        <v>170</v>
      </c>
      <c r="K13" s="35" t="s">
        <v>175</v>
      </c>
      <c r="L13" s="35">
        <v>3</v>
      </c>
      <c r="M13" s="35">
        <v>28000</v>
      </c>
      <c r="N13" s="35" t="s">
        <v>172</v>
      </c>
      <c r="O13" s="35">
        <v>3</v>
      </c>
    </row>
    <row r="14" spans="8:15">
      <c r="H14" s="35">
        <v>111</v>
      </c>
      <c r="I14" s="35" t="s">
        <v>187</v>
      </c>
      <c r="J14" s="35" t="s">
        <v>174</v>
      </c>
      <c r="K14" s="35" t="s">
        <v>171</v>
      </c>
      <c r="L14" s="35">
        <v>4</v>
      </c>
      <c r="M14" s="35">
        <v>42000</v>
      </c>
      <c r="N14" s="35" t="s">
        <v>176</v>
      </c>
      <c r="O14" s="35">
        <v>4</v>
      </c>
    </row>
    <row r="15" spans="8:15">
      <c r="H15" s="35">
        <v>112</v>
      </c>
      <c r="I15" s="35" t="s">
        <v>188</v>
      </c>
      <c r="J15" s="35" t="s">
        <v>177</v>
      </c>
      <c r="K15" s="35" t="s">
        <v>175</v>
      </c>
      <c r="L15" s="35">
        <v>6</v>
      </c>
      <c r="M15" s="35">
        <v>55000</v>
      </c>
      <c r="N15" s="35" t="s">
        <v>178</v>
      </c>
      <c r="O15" s="35">
        <v>5</v>
      </c>
    </row>
    <row r="16" spans="1:15">
      <c r="A16" s="65" t="s">
        <v>189</v>
      </c>
      <c r="H16" s="35">
        <v>113</v>
      </c>
      <c r="I16" s="35" t="s">
        <v>190</v>
      </c>
      <c r="J16" s="35" t="s">
        <v>182</v>
      </c>
      <c r="K16" s="35" t="s">
        <v>171</v>
      </c>
      <c r="L16" s="35">
        <v>2</v>
      </c>
      <c r="M16" s="35">
        <v>23000</v>
      </c>
      <c r="N16" s="35" t="s">
        <v>172</v>
      </c>
      <c r="O16" s="35">
        <v>2</v>
      </c>
    </row>
    <row r="17" spans="8:15">
      <c r="H17" s="35">
        <v>114</v>
      </c>
      <c r="I17" s="35" t="s">
        <v>191</v>
      </c>
      <c r="J17" s="35" t="s">
        <v>170</v>
      </c>
      <c r="K17" s="35" t="s">
        <v>175</v>
      </c>
      <c r="L17" s="35">
        <v>8</v>
      </c>
      <c r="M17" s="35">
        <v>65000</v>
      </c>
      <c r="N17" s="35" t="s">
        <v>176</v>
      </c>
      <c r="O17" s="35">
        <v>5</v>
      </c>
    </row>
    <row r="18" spans="1:15">
      <c r="A18" t="s">
        <v>192</v>
      </c>
      <c r="D18" s="33"/>
      <c r="F18">
        <f>COUNTIF(J5:J22,"IT")</f>
        <v>5</v>
      </c>
      <c r="G18">
        <f>COUNTIF(J5:J22,J6)</f>
        <v>5</v>
      </c>
      <c r="H18" s="35">
        <v>115</v>
      </c>
      <c r="I18" s="35" t="s">
        <v>193</v>
      </c>
      <c r="J18" s="35" t="s">
        <v>174</v>
      </c>
      <c r="K18" s="35" t="s">
        <v>171</v>
      </c>
      <c r="L18" s="35">
        <v>3</v>
      </c>
      <c r="M18" s="35">
        <v>37000</v>
      </c>
      <c r="N18" s="35" t="s">
        <v>178</v>
      </c>
      <c r="O18" s="35">
        <v>4</v>
      </c>
    </row>
    <row r="19" spans="1:15">
      <c r="A19" t="s">
        <v>194</v>
      </c>
      <c r="F19">
        <f>COUNTIF(M5:M22,"&gt;40000")</f>
        <v>8</v>
      </c>
      <c r="H19" s="35">
        <v>117</v>
      </c>
      <c r="I19" s="35" t="s">
        <v>195</v>
      </c>
      <c r="J19" s="35" t="s">
        <v>182</v>
      </c>
      <c r="K19" s="35" t="s">
        <v>171</v>
      </c>
      <c r="L19" s="35">
        <v>6</v>
      </c>
      <c r="M19" s="35">
        <v>52000</v>
      </c>
      <c r="N19" s="35" t="s">
        <v>176</v>
      </c>
      <c r="O19" s="35">
        <v>5</v>
      </c>
    </row>
    <row r="20" spans="6:15">
      <c r="F20" t="s">
        <v>196</v>
      </c>
      <c r="H20" s="35">
        <v>118</v>
      </c>
      <c r="I20" s="35" t="s">
        <v>197</v>
      </c>
      <c r="J20" s="35" t="s">
        <v>174</v>
      </c>
      <c r="K20" s="35" t="s">
        <v>175</v>
      </c>
      <c r="L20" s="35">
        <v>2</v>
      </c>
      <c r="M20" s="35">
        <v>26000</v>
      </c>
      <c r="N20" s="35" t="s">
        <v>178</v>
      </c>
      <c r="O20" s="35">
        <v>3</v>
      </c>
    </row>
    <row r="21" spans="8:15">
      <c r="H21" s="35">
        <v>119</v>
      </c>
      <c r="I21" s="35" t="s">
        <v>198</v>
      </c>
      <c r="J21" s="35" t="s">
        <v>170</v>
      </c>
      <c r="K21" s="35" t="s">
        <v>171</v>
      </c>
      <c r="L21" s="35">
        <v>7</v>
      </c>
      <c r="M21" s="35">
        <v>58000</v>
      </c>
      <c r="N21" s="35" t="s">
        <v>172</v>
      </c>
      <c r="O21" s="35">
        <v>4</v>
      </c>
    </row>
    <row r="22" spans="8:15">
      <c r="H22" s="35">
        <v>120</v>
      </c>
      <c r="I22" s="35" t="s">
        <v>199</v>
      </c>
      <c r="J22" s="35" t="s">
        <v>177</v>
      </c>
      <c r="K22" s="35" t="s">
        <v>175</v>
      </c>
      <c r="L22" s="35">
        <v>4</v>
      </c>
      <c r="M22" s="35">
        <v>39000</v>
      </c>
      <c r="N22" s="35" t="s">
        <v>176</v>
      </c>
      <c r="O22" s="35">
        <v>4</v>
      </c>
    </row>
    <row r="23" spans="1:1">
      <c r="A23" s="65" t="s">
        <v>200</v>
      </c>
    </row>
    <row r="25" spans="1:6">
      <c r="A25" t="s">
        <v>201</v>
      </c>
      <c r="F25">
        <f>COUNTIFS(J5:J22,J5,K5:K22,K5)</f>
        <v>3</v>
      </c>
    </row>
    <row r="26" spans="1:6">
      <c r="A26" t="s">
        <v>202</v>
      </c>
      <c r="F26">
        <f>COUNTIFS(N5:N22,N5,L5:L22,"&gt;5")</f>
        <v>3</v>
      </c>
    </row>
    <row r="29" spans="1:20">
      <c r="A29" s="24" t="s">
        <v>203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2" spans="1:7">
      <c r="A32" s="26" t="s">
        <v>204</v>
      </c>
      <c r="B32" s="26"/>
      <c r="C32" s="26"/>
      <c r="D32" s="26"/>
      <c r="E32" s="26"/>
      <c r="F32" s="26"/>
      <c r="G32" s="26"/>
    </row>
    <row r="33" spans="1:7">
      <c r="A33" s="26" t="s">
        <v>205</v>
      </c>
      <c r="B33" s="26"/>
      <c r="C33" s="26"/>
      <c r="D33" s="26"/>
      <c r="E33" s="26"/>
      <c r="F33" s="26"/>
      <c r="G33" s="26"/>
    </row>
    <row r="34" spans="1:7">
      <c r="A34" s="20" t="s">
        <v>206</v>
      </c>
      <c r="B34" s="20"/>
      <c r="C34" s="20"/>
      <c r="D34" s="20"/>
      <c r="E34" s="20"/>
      <c r="F34" s="20"/>
      <c r="G34" s="20"/>
    </row>
    <row r="36" spans="8:15">
      <c r="H36" s="60" t="s">
        <v>162</v>
      </c>
      <c r="I36" s="60" t="s">
        <v>163</v>
      </c>
      <c r="J36" s="60" t="s">
        <v>164</v>
      </c>
      <c r="K36" s="60" t="s">
        <v>165</v>
      </c>
      <c r="L36" s="60" t="s">
        <v>166</v>
      </c>
      <c r="M36" s="60" t="s">
        <v>145</v>
      </c>
      <c r="N36" s="60" t="s">
        <v>167</v>
      </c>
      <c r="O36" s="60" t="s">
        <v>168</v>
      </c>
    </row>
    <row r="37" spans="1:15">
      <c r="A37" t="s">
        <v>207</v>
      </c>
      <c r="H37" s="35">
        <v>101</v>
      </c>
      <c r="I37" s="35" t="s">
        <v>25</v>
      </c>
      <c r="J37" s="35" t="s">
        <v>170</v>
      </c>
      <c r="K37" s="35" t="s">
        <v>171</v>
      </c>
      <c r="L37" s="35">
        <v>2</v>
      </c>
      <c r="M37" s="35">
        <v>25000</v>
      </c>
      <c r="N37" s="35" t="s">
        <v>172</v>
      </c>
      <c r="O37" s="35">
        <v>4</v>
      </c>
    </row>
    <row r="38" spans="8:15">
      <c r="H38" s="35">
        <v>102</v>
      </c>
      <c r="I38" s="35" t="s">
        <v>26</v>
      </c>
      <c r="J38" s="35" t="s">
        <v>174</v>
      </c>
      <c r="K38" s="35" t="s">
        <v>175</v>
      </c>
      <c r="L38" s="35">
        <v>5</v>
      </c>
      <c r="M38" s="35">
        <v>45000</v>
      </c>
      <c r="N38" s="35" t="s">
        <v>176</v>
      </c>
      <c r="O38" s="35">
        <v>5</v>
      </c>
    </row>
    <row r="39" spans="1:15">
      <c r="A39" t="s">
        <v>208</v>
      </c>
      <c r="H39" s="35">
        <v>103</v>
      </c>
      <c r="I39" s="35" t="s">
        <v>27</v>
      </c>
      <c r="J39" s="35" t="s">
        <v>177</v>
      </c>
      <c r="K39" s="35" t="s">
        <v>171</v>
      </c>
      <c r="L39" s="35">
        <v>3</v>
      </c>
      <c r="M39" s="35">
        <v>30000</v>
      </c>
      <c r="N39" s="35" t="s">
        <v>178</v>
      </c>
      <c r="O39" s="35">
        <v>3</v>
      </c>
    </row>
    <row r="40" spans="1:15">
      <c r="A40" t="s">
        <v>209</v>
      </c>
      <c r="H40" s="35">
        <v>104</v>
      </c>
      <c r="I40" s="35" t="s">
        <v>28</v>
      </c>
      <c r="J40" s="35" t="s">
        <v>174</v>
      </c>
      <c r="K40" s="35" t="s">
        <v>175</v>
      </c>
      <c r="L40" s="35">
        <v>6</v>
      </c>
      <c r="M40" s="35">
        <v>50000</v>
      </c>
      <c r="N40" s="35" t="s">
        <v>172</v>
      </c>
      <c r="O40" s="35">
        <v>4</v>
      </c>
    </row>
    <row r="41" spans="8:15">
      <c r="H41" s="35">
        <v>105</v>
      </c>
      <c r="I41" s="35" t="s">
        <v>180</v>
      </c>
      <c r="J41" s="35" t="s">
        <v>170</v>
      </c>
      <c r="K41" s="35" t="s">
        <v>171</v>
      </c>
      <c r="L41" s="35">
        <v>4</v>
      </c>
      <c r="M41" s="35">
        <v>35000</v>
      </c>
      <c r="N41" s="35" t="s">
        <v>176</v>
      </c>
      <c r="O41" s="35">
        <v>5</v>
      </c>
    </row>
    <row r="42" spans="1:15">
      <c r="A42" t="s">
        <v>210</v>
      </c>
      <c r="H42" s="35">
        <v>106</v>
      </c>
      <c r="I42" s="35" t="s">
        <v>181</v>
      </c>
      <c r="J42" s="35" t="s">
        <v>182</v>
      </c>
      <c r="K42" s="35" t="s">
        <v>175</v>
      </c>
      <c r="L42" s="35">
        <v>2</v>
      </c>
      <c r="M42" s="35">
        <v>22000</v>
      </c>
      <c r="N42" s="35" t="s">
        <v>178</v>
      </c>
      <c r="O42" s="35">
        <v>2</v>
      </c>
    </row>
    <row r="43" spans="8:15">
      <c r="H43" s="35">
        <v>107</v>
      </c>
      <c r="I43" s="35" t="s">
        <v>184</v>
      </c>
      <c r="J43" s="35" t="s">
        <v>177</v>
      </c>
      <c r="K43" s="35" t="s">
        <v>171</v>
      </c>
      <c r="L43" s="35">
        <v>7</v>
      </c>
      <c r="M43" s="35">
        <v>60000</v>
      </c>
      <c r="N43" s="35" t="s">
        <v>172</v>
      </c>
      <c r="O43" s="35">
        <v>5</v>
      </c>
    </row>
    <row r="44" spans="1:15">
      <c r="A44" t="s">
        <v>211</v>
      </c>
      <c r="H44" s="35">
        <v>109</v>
      </c>
      <c r="I44" s="35" t="s">
        <v>29</v>
      </c>
      <c r="J44" s="35" t="s">
        <v>182</v>
      </c>
      <c r="K44" s="35" t="s">
        <v>171</v>
      </c>
      <c r="L44" s="35">
        <v>5</v>
      </c>
      <c r="M44" s="35">
        <v>40000</v>
      </c>
      <c r="N44" s="35" t="s">
        <v>178</v>
      </c>
      <c r="O44" s="35">
        <v>4</v>
      </c>
    </row>
    <row r="45" spans="1:15">
      <c r="A45" t="s">
        <v>212</v>
      </c>
      <c r="H45" s="35">
        <v>110</v>
      </c>
      <c r="I45" s="35" t="s">
        <v>186</v>
      </c>
      <c r="J45" s="35" t="s">
        <v>170</v>
      </c>
      <c r="K45" s="35" t="s">
        <v>175</v>
      </c>
      <c r="L45" s="35">
        <v>3</v>
      </c>
      <c r="M45" s="35">
        <v>28000</v>
      </c>
      <c r="N45" s="35" t="s">
        <v>172</v>
      </c>
      <c r="O45" s="35">
        <v>3</v>
      </c>
    </row>
    <row r="46" spans="8:15">
      <c r="H46" s="35">
        <v>111</v>
      </c>
      <c r="I46" s="35" t="s">
        <v>187</v>
      </c>
      <c r="J46" s="35" t="s">
        <v>174</v>
      </c>
      <c r="K46" s="35" t="s">
        <v>171</v>
      </c>
      <c r="L46" s="35">
        <v>4</v>
      </c>
      <c r="M46" s="35">
        <v>42000</v>
      </c>
      <c r="N46" s="35" t="s">
        <v>176</v>
      </c>
      <c r="O46" s="35">
        <v>4</v>
      </c>
    </row>
    <row r="47" spans="1:15">
      <c r="A47" t="s">
        <v>213</v>
      </c>
      <c r="H47" s="35">
        <v>112</v>
      </c>
      <c r="I47" s="35" t="s">
        <v>188</v>
      </c>
      <c r="J47" s="35" t="s">
        <v>177</v>
      </c>
      <c r="K47" s="35" t="s">
        <v>175</v>
      </c>
      <c r="L47" s="35">
        <v>6</v>
      </c>
      <c r="M47" s="35">
        <v>55000</v>
      </c>
      <c r="N47" s="35" t="s">
        <v>178</v>
      </c>
      <c r="O47" s="35">
        <v>5</v>
      </c>
    </row>
    <row r="48" spans="8:15">
      <c r="H48" s="35">
        <v>113</v>
      </c>
      <c r="I48" s="35" t="s">
        <v>190</v>
      </c>
      <c r="J48" s="35" t="s">
        <v>182</v>
      </c>
      <c r="K48" s="35" t="s">
        <v>171</v>
      </c>
      <c r="L48" s="35">
        <v>2</v>
      </c>
      <c r="M48" s="35">
        <v>23000</v>
      </c>
      <c r="N48" s="35" t="s">
        <v>172</v>
      </c>
      <c r="O48" s="35">
        <v>2</v>
      </c>
    </row>
    <row r="49" spans="1:15">
      <c r="A49" t="s">
        <v>214</v>
      </c>
      <c r="H49" s="35">
        <v>114</v>
      </c>
      <c r="I49" s="35" t="s">
        <v>191</v>
      </c>
      <c r="J49" s="35" t="s">
        <v>170</v>
      </c>
      <c r="K49" s="35" t="s">
        <v>175</v>
      </c>
      <c r="L49" s="35">
        <v>8</v>
      </c>
      <c r="M49" s="35">
        <v>65000</v>
      </c>
      <c r="N49" s="35" t="s">
        <v>176</v>
      </c>
      <c r="O49" s="35">
        <v>5</v>
      </c>
    </row>
    <row r="50" spans="1:15">
      <c r="A50" t="s">
        <v>215</v>
      </c>
      <c r="H50" s="35">
        <v>115</v>
      </c>
      <c r="I50" s="35" t="s">
        <v>193</v>
      </c>
      <c r="J50" s="35" t="s">
        <v>174</v>
      </c>
      <c r="K50" s="35" t="s">
        <v>171</v>
      </c>
      <c r="L50" s="35">
        <v>3</v>
      </c>
      <c r="M50" s="35">
        <v>37000</v>
      </c>
      <c r="N50" s="35" t="s">
        <v>178</v>
      </c>
      <c r="O50" s="35">
        <v>4</v>
      </c>
    </row>
    <row r="51" spans="8:15">
      <c r="H51" s="35">
        <v>117</v>
      </c>
      <c r="I51" s="35" t="s">
        <v>195</v>
      </c>
      <c r="J51" s="35" t="s">
        <v>182</v>
      </c>
      <c r="K51" s="35" t="s">
        <v>171</v>
      </c>
      <c r="L51" s="35">
        <v>6</v>
      </c>
      <c r="M51" s="35">
        <v>52000</v>
      </c>
      <c r="N51" s="35" t="s">
        <v>176</v>
      </c>
      <c r="O51" s="35">
        <v>5</v>
      </c>
    </row>
    <row r="52" spans="8:15">
      <c r="H52" s="35">
        <v>118</v>
      </c>
      <c r="I52" s="35" t="s">
        <v>197</v>
      </c>
      <c r="J52" s="35" t="s">
        <v>174</v>
      </c>
      <c r="K52" s="35" t="s">
        <v>175</v>
      </c>
      <c r="L52" s="35">
        <v>2</v>
      </c>
      <c r="M52" s="35">
        <v>26000</v>
      </c>
      <c r="N52" s="35" t="s">
        <v>178</v>
      </c>
      <c r="O52" s="35">
        <v>3</v>
      </c>
    </row>
    <row r="53" spans="8:15">
      <c r="H53" s="35">
        <v>119</v>
      </c>
      <c r="I53" s="35" t="s">
        <v>198</v>
      </c>
      <c r="J53" s="35" t="s">
        <v>170</v>
      </c>
      <c r="K53" s="35" t="s">
        <v>171</v>
      </c>
      <c r="L53" s="35">
        <v>7</v>
      </c>
      <c r="M53" s="35">
        <v>58000</v>
      </c>
      <c r="N53" s="35" t="s">
        <v>172</v>
      </c>
      <c r="O53" s="35">
        <v>4</v>
      </c>
    </row>
    <row r="54" spans="8:15">
      <c r="H54" s="35">
        <v>120</v>
      </c>
      <c r="I54" s="35" t="s">
        <v>199</v>
      </c>
      <c r="J54" s="35" t="s">
        <v>177</v>
      </c>
      <c r="K54" s="35" t="s">
        <v>175</v>
      </c>
      <c r="L54" s="35">
        <v>4</v>
      </c>
      <c r="M54" s="35">
        <v>39000</v>
      </c>
      <c r="N54" s="35" t="s">
        <v>176</v>
      </c>
      <c r="O54" s="35">
        <v>4</v>
      </c>
    </row>
  </sheetData>
  <mergeCells count="8">
    <mergeCell ref="A4:E4"/>
    <mergeCell ref="A5:E5"/>
    <mergeCell ref="A6:E6"/>
    <mergeCell ref="A32:G32"/>
    <mergeCell ref="A33:G33"/>
    <mergeCell ref="A34:G34"/>
    <mergeCell ref="A1:T2"/>
    <mergeCell ref="A29:T30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topLeftCell="C1" workbookViewId="0">
      <selection activeCell="O13" sqref="O13"/>
    </sheetView>
  </sheetViews>
  <sheetFormatPr defaultColWidth="9" defaultRowHeight="15"/>
  <cols>
    <col min="1" max="1" width="17.1428571428571" customWidth="1"/>
    <col min="2" max="2" width="15.5714285714286" customWidth="1"/>
    <col min="3" max="3" width="12.1428571428571" customWidth="1"/>
    <col min="4" max="4" width="13" customWidth="1"/>
    <col min="6" max="7" width="12.4285714285714" customWidth="1"/>
    <col min="8" max="8" width="11" customWidth="1"/>
    <col min="9" max="9" width="11.2857142857143" customWidth="1"/>
    <col min="10" max="10" width="12.7142857142857" customWidth="1"/>
    <col min="11" max="11" width="12.2857142857143" customWidth="1"/>
    <col min="12" max="12" width="12" customWidth="1"/>
    <col min="13" max="13" width="13.7142857142857" customWidth="1"/>
    <col min="14" max="14" width="11.7142857142857" customWidth="1"/>
    <col min="15" max="15" width="14" customWidth="1"/>
  </cols>
  <sheetData>
    <row r="1" customHeight="1" spans="1:17">
      <c r="A1" s="51" t="s">
        <v>216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customHeight="1" spans="1:17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4" spans="1:7">
      <c r="A4" s="26" t="s">
        <v>217</v>
      </c>
      <c r="B4" s="26"/>
      <c r="C4" s="26"/>
      <c r="D4" s="26"/>
      <c r="E4" s="26"/>
      <c r="F4" s="26"/>
      <c r="G4" s="26"/>
    </row>
    <row r="5" spans="1:7">
      <c r="A5" s="26" t="s">
        <v>218</v>
      </c>
      <c r="B5" s="26"/>
      <c r="C5" s="26"/>
      <c r="D5" s="26"/>
      <c r="E5" s="26"/>
      <c r="F5" s="26"/>
      <c r="G5" s="26"/>
    </row>
    <row r="6" spans="1:1">
      <c r="A6" t="s">
        <v>219</v>
      </c>
    </row>
    <row r="9" spans="2:12">
      <c r="B9" t="s">
        <v>220</v>
      </c>
      <c r="F9" s="52" t="s">
        <v>163</v>
      </c>
      <c r="G9" s="52" t="s">
        <v>165</v>
      </c>
      <c r="H9" s="52" t="s">
        <v>221</v>
      </c>
      <c r="I9" s="52" t="s">
        <v>222</v>
      </c>
      <c r="J9" s="52" t="s">
        <v>223</v>
      </c>
      <c r="K9" s="52" t="s">
        <v>224</v>
      </c>
      <c r="L9" s="52" t="s">
        <v>225</v>
      </c>
    </row>
    <row r="10" spans="6:12">
      <c r="F10" s="20" t="s">
        <v>226</v>
      </c>
      <c r="G10" s="20" t="s">
        <v>227</v>
      </c>
      <c r="H10" s="20">
        <v>19</v>
      </c>
      <c r="I10" s="20">
        <v>10</v>
      </c>
      <c r="J10" s="20">
        <v>80</v>
      </c>
      <c r="K10" s="20">
        <v>89</v>
      </c>
      <c r="L10" s="20">
        <f>SUM(J10+K10)</f>
        <v>169</v>
      </c>
    </row>
    <row r="11" spans="6:15">
      <c r="F11" s="20" t="s">
        <v>228</v>
      </c>
      <c r="G11" s="20" t="s">
        <v>229</v>
      </c>
      <c r="H11" s="20">
        <v>20</v>
      </c>
      <c r="I11" s="20">
        <v>10</v>
      </c>
      <c r="J11" s="20">
        <v>81</v>
      </c>
      <c r="K11" s="20">
        <v>67</v>
      </c>
      <c r="L11" s="20">
        <f t="shared" ref="L11:L23" si="0">SUM(J11+K11)</f>
        <v>148</v>
      </c>
      <c r="N11" s="52" t="s">
        <v>163</v>
      </c>
      <c r="O11" s="52" t="s">
        <v>165</v>
      </c>
    </row>
    <row r="12" spans="6:15">
      <c r="F12" s="20" t="s">
        <v>230</v>
      </c>
      <c r="G12" s="20" t="s">
        <v>231</v>
      </c>
      <c r="H12" s="20">
        <v>20</v>
      </c>
      <c r="I12" s="20">
        <v>10</v>
      </c>
      <c r="J12" s="20">
        <v>85</v>
      </c>
      <c r="K12" s="55">
        <v>56</v>
      </c>
      <c r="L12" s="20">
        <f t="shared" si="0"/>
        <v>141</v>
      </c>
      <c r="N12" s="20" t="s">
        <v>226</v>
      </c>
      <c r="O12" s="20" t="str">
        <f>VLOOKUP(N12,F10:G23,2,0)</f>
        <v>M</v>
      </c>
    </row>
    <row r="13" spans="6:15">
      <c r="F13" s="20" t="s">
        <v>232</v>
      </c>
      <c r="G13" s="20" t="s">
        <v>233</v>
      </c>
      <c r="H13" s="20">
        <v>18</v>
      </c>
      <c r="I13" s="20">
        <v>10</v>
      </c>
      <c r="J13" s="20">
        <v>90</v>
      </c>
      <c r="K13" s="20">
        <v>89</v>
      </c>
      <c r="L13" s="20">
        <f t="shared" si="0"/>
        <v>179</v>
      </c>
      <c r="N13" s="20" t="s">
        <v>228</v>
      </c>
      <c r="O13" s="20" t="str">
        <f>VLOOKUP(N13,F11:G24,2,0)</f>
        <v> M </v>
      </c>
    </row>
    <row r="14" spans="6:15">
      <c r="F14" s="20" t="s">
        <v>234</v>
      </c>
      <c r="G14" s="20" t="s">
        <v>235</v>
      </c>
      <c r="H14" s="20">
        <v>17</v>
      </c>
      <c r="I14" s="20">
        <v>10</v>
      </c>
      <c r="J14" s="20">
        <v>88</v>
      </c>
      <c r="K14" s="20">
        <v>67</v>
      </c>
      <c r="L14" s="20">
        <f t="shared" si="0"/>
        <v>155</v>
      </c>
      <c r="N14" s="20" t="s">
        <v>236</v>
      </c>
      <c r="O14" s="20" t="str">
        <f>VLOOKUP(N14,F12:G25,2,0)</f>
        <v>F</v>
      </c>
    </row>
    <row r="15" spans="6:15">
      <c r="F15" s="20" t="s">
        <v>237</v>
      </c>
      <c r="G15" s="20" t="s">
        <v>229</v>
      </c>
      <c r="H15" s="20">
        <v>19</v>
      </c>
      <c r="I15" s="20">
        <v>10</v>
      </c>
      <c r="J15" s="20">
        <v>70</v>
      </c>
      <c r="K15" s="20">
        <v>90</v>
      </c>
      <c r="L15" s="20">
        <f t="shared" si="0"/>
        <v>160</v>
      </c>
      <c r="O15" s="57"/>
    </row>
    <row r="16" spans="6:15">
      <c r="F16" s="20" t="s">
        <v>238</v>
      </c>
      <c r="G16" s="20" t="s">
        <v>229</v>
      </c>
      <c r="H16" s="20">
        <v>20</v>
      </c>
      <c r="I16" s="20">
        <v>10</v>
      </c>
      <c r="J16" s="20">
        <v>89</v>
      </c>
      <c r="K16" s="20">
        <v>45</v>
      </c>
      <c r="L16" s="20">
        <f t="shared" si="0"/>
        <v>134</v>
      </c>
      <c r="N16" s="52" t="s">
        <v>163</v>
      </c>
      <c r="O16" s="52" t="s">
        <v>225</v>
      </c>
    </row>
    <row r="17" spans="6:15">
      <c r="F17" s="20" t="s">
        <v>239</v>
      </c>
      <c r="G17" s="20" t="s">
        <v>229</v>
      </c>
      <c r="H17" s="20">
        <v>21</v>
      </c>
      <c r="I17" s="20">
        <v>10</v>
      </c>
      <c r="J17" s="20">
        <v>90</v>
      </c>
      <c r="K17" s="20">
        <v>67</v>
      </c>
      <c r="L17" s="20">
        <f t="shared" si="0"/>
        <v>157</v>
      </c>
      <c r="N17" s="20" t="s">
        <v>226</v>
      </c>
      <c r="O17" s="20">
        <f>VLOOKUP(N17,F10:L23,7,0)</f>
        <v>169</v>
      </c>
    </row>
    <row r="18" spans="6:15">
      <c r="F18" s="20" t="s">
        <v>240</v>
      </c>
      <c r="G18" s="20" t="s">
        <v>231</v>
      </c>
      <c r="H18" s="20">
        <v>22</v>
      </c>
      <c r="I18" s="20">
        <v>10</v>
      </c>
      <c r="J18" s="20">
        <v>76</v>
      </c>
      <c r="K18" s="20">
        <v>89</v>
      </c>
      <c r="L18" s="20">
        <f t="shared" si="0"/>
        <v>165</v>
      </c>
      <c r="N18" s="20" t="s">
        <v>228</v>
      </c>
      <c r="O18" s="20">
        <f>VLOOKUP(N18,F11:L24,7,0)</f>
        <v>148</v>
      </c>
    </row>
    <row r="19" spans="6:15">
      <c r="F19" s="20" t="s">
        <v>241</v>
      </c>
      <c r="G19" s="20" t="s">
        <v>229</v>
      </c>
      <c r="H19" s="20">
        <v>18</v>
      </c>
      <c r="I19" s="20">
        <v>10</v>
      </c>
      <c r="J19" s="20">
        <v>89</v>
      </c>
      <c r="K19" s="20">
        <v>43</v>
      </c>
      <c r="L19" s="20">
        <f t="shared" si="0"/>
        <v>132</v>
      </c>
      <c r="N19" s="20" t="s">
        <v>242</v>
      </c>
      <c r="O19" s="20">
        <f>VLOOKUP(N19,F12:L25,7,0)</f>
        <v>113</v>
      </c>
    </row>
    <row r="20" spans="6:12">
      <c r="F20" s="20" t="s">
        <v>242</v>
      </c>
      <c r="G20" s="20" t="s">
        <v>229</v>
      </c>
      <c r="H20" s="20">
        <v>21</v>
      </c>
      <c r="I20" s="20">
        <v>10</v>
      </c>
      <c r="J20" s="20">
        <v>23</v>
      </c>
      <c r="K20" s="20">
        <v>90</v>
      </c>
      <c r="L20" s="20">
        <f t="shared" si="0"/>
        <v>113</v>
      </c>
    </row>
    <row r="21" spans="6:12">
      <c r="F21" s="20" t="s">
        <v>243</v>
      </c>
      <c r="G21" s="20" t="s">
        <v>229</v>
      </c>
      <c r="H21" s="20">
        <v>20</v>
      </c>
      <c r="I21" s="20">
        <v>10</v>
      </c>
      <c r="J21" s="20">
        <v>78</v>
      </c>
      <c r="K21" s="20">
        <v>56</v>
      </c>
      <c r="L21" s="20">
        <f t="shared" si="0"/>
        <v>134</v>
      </c>
    </row>
    <row r="22" spans="6:12">
      <c r="F22" s="20" t="s">
        <v>236</v>
      </c>
      <c r="G22" s="20" t="s">
        <v>231</v>
      </c>
      <c r="H22" s="20">
        <v>22</v>
      </c>
      <c r="I22" s="20">
        <v>10</v>
      </c>
      <c r="J22" s="20">
        <v>23</v>
      </c>
      <c r="K22" s="20">
        <v>56</v>
      </c>
      <c r="L22" s="20">
        <f t="shared" si="0"/>
        <v>79</v>
      </c>
    </row>
    <row r="23" spans="6:12">
      <c r="F23" s="20" t="s">
        <v>244</v>
      </c>
      <c r="G23" s="20" t="s">
        <v>229</v>
      </c>
      <c r="H23" s="20">
        <v>23</v>
      </c>
      <c r="I23" s="20">
        <v>10</v>
      </c>
      <c r="J23" s="20">
        <v>45</v>
      </c>
      <c r="K23" s="20">
        <v>67</v>
      </c>
      <c r="L23" s="20">
        <f t="shared" si="0"/>
        <v>112</v>
      </c>
    </row>
    <row r="27" spans="2:9">
      <c r="B27" t="s">
        <v>245</v>
      </c>
      <c r="F27" s="53" t="s">
        <v>246</v>
      </c>
      <c r="G27" s="53" t="s">
        <v>247</v>
      </c>
      <c r="H27" s="53" t="s">
        <v>248</v>
      </c>
      <c r="I27" s="53" t="s">
        <v>132</v>
      </c>
    </row>
    <row r="28" ht="15.75" spans="6:13">
      <c r="F28" s="54">
        <v>1</v>
      </c>
      <c r="G28" s="54" t="s">
        <v>249</v>
      </c>
      <c r="H28" s="54">
        <v>44</v>
      </c>
      <c r="I28" s="18" t="str">
        <f t="shared" ref="I28:I35" si="1">VLOOKUP(H28,$L$29:$M$33,2,1)</f>
        <v>C</v>
      </c>
      <c r="L28" s="53" t="s">
        <v>248</v>
      </c>
      <c r="M28" s="53" t="s">
        <v>250</v>
      </c>
    </row>
    <row r="29" ht="15.75" spans="6:13">
      <c r="F29" s="54">
        <v>2</v>
      </c>
      <c r="G29" s="54" t="s">
        <v>251</v>
      </c>
      <c r="H29" s="54">
        <v>65</v>
      </c>
      <c r="I29" s="18" t="str">
        <f t="shared" si="1"/>
        <v>A</v>
      </c>
      <c r="L29" s="54">
        <v>0</v>
      </c>
      <c r="M29" s="54" t="s">
        <v>252</v>
      </c>
    </row>
    <row r="30" ht="15.75" spans="6:13">
      <c r="F30" s="54">
        <v>3</v>
      </c>
      <c r="G30" s="54" t="s">
        <v>253</v>
      </c>
      <c r="H30" s="54">
        <v>25</v>
      </c>
      <c r="I30" s="18" t="str">
        <f t="shared" si="1"/>
        <v>FAIL</v>
      </c>
      <c r="L30" s="54">
        <v>35</v>
      </c>
      <c r="M30" s="54" t="s">
        <v>253</v>
      </c>
    </row>
    <row r="31" ht="15.75" spans="6:13">
      <c r="F31" s="54">
        <v>4</v>
      </c>
      <c r="G31" s="54" t="s">
        <v>254</v>
      </c>
      <c r="H31" s="54">
        <v>35</v>
      </c>
      <c r="I31" s="18" t="str">
        <f t="shared" si="1"/>
        <v>C</v>
      </c>
      <c r="L31" s="54">
        <v>45</v>
      </c>
      <c r="M31" s="54" t="s">
        <v>251</v>
      </c>
    </row>
    <row r="32" ht="15.75" spans="6:13">
      <c r="F32" s="54">
        <v>5</v>
      </c>
      <c r="G32" s="54" t="s">
        <v>255</v>
      </c>
      <c r="H32" s="54">
        <v>78</v>
      </c>
      <c r="I32" s="18" t="str">
        <f t="shared" si="1"/>
        <v>A+</v>
      </c>
      <c r="L32" s="54">
        <v>60</v>
      </c>
      <c r="M32" s="54" t="s">
        <v>249</v>
      </c>
    </row>
    <row r="33" ht="15.75" spans="6:13">
      <c r="F33" s="54">
        <v>6</v>
      </c>
      <c r="G33" s="54" t="s">
        <v>231</v>
      </c>
      <c r="H33" s="54">
        <v>65</v>
      </c>
      <c r="I33" s="18" t="str">
        <f t="shared" si="1"/>
        <v>A</v>
      </c>
      <c r="L33" s="54">
        <v>75</v>
      </c>
      <c r="M33" s="54" t="s">
        <v>256</v>
      </c>
    </row>
    <row r="34" ht="15.75" spans="6:9">
      <c r="F34" s="54">
        <v>7</v>
      </c>
      <c r="G34" s="54" t="s">
        <v>257</v>
      </c>
      <c r="H34" s="54">
        <v>98</v>
      </c>
      <c r="I34" s="18" t="str">
        <f t="shared" si="1"/>
        <v>A+</v>
      </c>
    </row>
    <row r="35" ht="15.75" spans="6:9">
      <c r="F35" s="54">
        <v>8</v>
      </c>
      <c r="G35" s="54" t="s">
        <v>258</v>
      </c>
      <c r="H35" s="54">
        <v>65</v>
      </c>
      <c r="I35" s="18" t="str">
        <f t="shared" si="1"/>
        <v>A</v>
      </c>
    </row>
    <row r="39" customHeight="1" spans="1:17">
      <c r="A39" s="51" t="s">
        <v>259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customHeight="1" spans="1:17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3" spans="1:15">
      <c r="A43" s="52" t="s">
        <v>163</v>
      </c>
      <c r="B43" s="20" t="s">
        <v>226</v>
      </c>
      <c r="C43" s="20" t="s">
        <v>228</v>
      </c>
      <c r="D43" s="20" t="s">
        <v>230</v>
      </c>
      <c r="E43" s="20" t="s">
        <v>232</v>
      </c>
      <c r="F43" s="20" t="s">
        <v>234</v>
      </c>
      <c r="G43" s="20" t="s">
        <v>237</v>
      </c>
      <c r="H43" s="20" t="s">
        <v>238</v>
      </c>
      <c r="I43" s="20" t="s">
        <v>239</v>
      </c>
      <c r="J43" s="20" t="s">
        <v>240</v>
      </c>
      <c r="K43" s="20" t="s">
        <v>241</v>
      </c>
      <c r="L43" s="20" t="s">
        <v>242</v>
      </c>
      <c r="M43" s="20" t="s">
        <v>243</v>
      </c>
      <c r="N43" s="20" t="s">
        <v>236</v>
      </c>
      <c r="O43" s="20" t="s">
        <v>244</v>
      </c>
    </row>
    <row r="44" spans="1:15">
      <c r="A44" s="52" t="s">
        <v>165</v>
      </c>
      <c r="B44" s="20" t="s">
        <v>227</v>
      </c>
      <c r="C44" s="20" t="s">
        <v>229</v>
      </c>
      <c r="D44" s="20" t="s">
        <v>231</v>
      </c>
      <c r="E44" s="20" t="s">
        <v>233</v>
      </c>
      <c r="F44" s="20" t="s">
        <v>235</v>
      </c>
      <c r="G44" s="20" t="s">
        <v>229</v>
      </c>
      <c r="H44" s="20" t="s">
        <v>229</v>
      </c>
      <c r="I44" s="20" t="s">
        <v>229</v>
      </c>
      <c r="J44" s="20" t="s">
        <v>231</v>
      </c>
      <c r="K44" s="20" t="s">
        <v>229</v>
      </c>
      <c r="L44" s="20" t="s">
        <v>229</v>
      </c>
      <c r="M44" s="20" t="s">
        <v>229</v>
      </c>
      <c r="N44" s="20" t="s">
        <v>231</v>
      </c>
      <c r="O44" s="20" t="s">
        <v>229</v>
      </c>
    </row>
    <row r="45" spans="1:15">
      <c r="A45" s="52" t="s">
        <v>221</v>
      </c>
      <c r="B45" s="20">
        <v>19</v>
      </c>
      <c r="C45" s="20">
        <v>20</v>
      </c>
      <c r="D45" s="20">
        <v>20</v>
      </c>
      <c r="E45" s="20">
        <v>18</v>
      </c>
      <c r="F45" s="20">
        <v>17</v>
      </c>
      <c r="G45" s="20">
        <v>19</v>
      </c>
      <c r="H45" s="20">
        <v>20</v>
      </c>
      <c r="I45" s="20">
        <v>21</v>
      </c>
      <c r="J45" s="20">
        <v>22</v>
      </c>
      <c r="K45" s="20">
        <v>18</v>
      </c>
      <c r="L45" s="20">
        <v>21</v>
      </c>
      <c r="M45" s="20">
        <v>20</v>
      </c>
      <c r="N45" s="20">
        <v>22</v>
      </c>
      <c r="O45" s="20">
        <v>23</v>
      </c>
    </row>
    <row r="46" spans="1:15">
      <c r="A46" s="52" t="s">
        <v>222</v>
      </c>
      <c r="B46" s="20">
        <v>10</v>
      </c>
      <c r="C46" s="20">
        <v>10</v>
      </c>
      <c r="D46" s="20">
        <v>10</v>
      </c>
      <c r="E46" s="20">
        <v>10</v>
      </c>
      <c r="F46" s="20">
        <v>10</v>
      </c>
      <c r="G46" s="20">
        <v>10</v>
      </c>
      <c r="H46" s="20">
        <v>10</v>
      </c>
      <c r="I46" s="20">
        <v>10</v>
      </c>
      <c r="J46" s="20">
        <v>10</v>
      </c>
      <c r="K46" s="20">
        <v>10</v>
      </c>
      <c r="L46" s="20">
        <v>10</v>
      </c>
      <c r="M46" s="20">
        <v>10</v>
      </c>
      <c r="N46" s="20">
        <v>10</v>
      </c>
      <c r="O46" s="20">
        <v>10</v>
      </c>
    </row>
    <row r="47" spans="1:15">
      <c r="A47" s="52" t="s">
        <v>223</v>
      </c>
      <c r="B47" s="20">
        <v>80</v>
      </c>
      <c r="C47" s="20">
        <v>81</v>
      </c>
      <c r="D47" s="20">
        <v>85</v>
      </c>
      <c r="E47" s="20">
        <v>90</v>
      </c>
      <c r="F47" s="20">
        <v>88</v>
      </c>
      <c r="G47" s="20">
        <v>70</v>
      </c>
      <c r="H47" s="20">
        <v>89</v>
      </c>
      <c r="I47" s="20">
        <v>90</v>
      </c>
      <c r="J47" s="20">
        <v>76</v>
      </c>
      <c r="K47" s="20">
        <v>89</v>
      </c>
      <c r="L47" s="20">
        <v>23</v>
      </c>
      <c r="M47" s="20">
        <v>78</v>
      </c>
      <c r="N47" s="20">
        <v>23</v>
      </c>
      <c r="O47" s="20">
        <v>45</v>
      </c>
    </row>
    <row r="48" spans="1:15">
      <c r="A48" s="52" t="s">
        <v>224</v>
      </c>
      <c r="B48" s="20">
        <v>89</v>
      </c>
      <c r="C48" s="20">
        <v>67</v>
      </c>
      <c r="D48" s="55">
        <v>56</v>
      </c>
      <c r="E48" s="20">
        <v>89</v>
      </c>
      <c r="F48" s="20">
        <v>67</v>
      </c>
      <c r="G48" s="20">
        <v>90</v>
      </c>
      <c r="H48" s="20">
        <v>45</v>
      </c>
      <c r="I48" s="20">
        <v>67</v>
      </c>
      <c r="J48" s="20">
        <v>89</v>
      </c>
      <c r="K48" s="20">
        <v>43</v>
      </c>
      <c r="L48" s="20">
        <v>90</v>
      </c>
      <c r="M48" s="20">
        <v>56</v>
      </c>
      <c r="N48" s="20">
        <v>56</v>
      </c>
      <c r="O48" s="20">
        <v>67</v>
      </c>
    </row>
    <row r="49" spans="1:15">
      <c r="A49" s="52" t="s">
        <v>225</v>
      </c>
      <c r="B49" s="20">
        <f t="shared" ref="B49:O49" si="2">SUM(B47+B48)</f>
        <v>169</v>
      </c>
      <c r="C49" s="20">
        <f t="shared" si="2"/>
        <v>148</v>
      </c>
      <c r="D49" s="20">
        <f t="shared" si="2"/>
        <v>141</v>
      </c>
      <c r="E49" s="20">
        <f t="shared" si="2"/>
        <v>179</v>
      </c>
      <c r="F49" s="20">
        <f t="shared" si="2"/>
        <v>155</v>
      </c>
      <c r="G49" s="20">
        <f t="shared" si="2"/>
        <v>160</v>
      </c>
      <c r="H49" s="20">
        <f t="shared" si="2"/>
        <v>134</v>
      </c>
      <c r="I49" s="20">
        <f t="shared" si="2"/>
        <v>157</v>
      </c>
      <c r="J49" s="20">
        <f t="shared" si="2"/>
        <v>165</v>
      </c>
      <c r="K49" s="20">
        <f t="shared" si="2"/>
        <v>132</v>
      </c>
      <c r="L49" s="20">
        <f t="shared" si="2"/>
        <v>113</v>
      </c>
      <c r="M49" s="20">
        <f t="shared" si="2"/>
        <v>134</v>
      </c>
      <c r="N49" s="20">
        <f t="shared" si="2"/>
        <v>79</v>
      </c>
      <c r="O49" s="20">
        <f t="shared" si="2"/>
        <v>112</v>
      </c>
    </row>
    <row r="51" spans="3:11">
      <c r="C51" s="52" t="s">
        <v>163</v>
      </c>
      <c r="D51" s="52" t="s">
        <v>165</v>
      </c>
      <c r="F51" s="52" t="s">
        <v>163</v>
      </c>
      <c r="G51" s="52" t="s">
        <v>225</v>
      </c>
      <c r="I51" s="52" t="s">
        <v>163</v>
      </c>
      <c r="J51" s="20" t="s">
        <v>226</v>
      </c>
      <c r="K51" s="20" t="s">
        <v>238</v>
      </c>
    </row>
    <row r="52" spans="3:11">
      <c r="C52" s="20" t="s">
        <v>226</v>
      </c>
      <c r="D52" s="20" t="str">
        <f>HLOOKUP(C52,$B$43:$O$44,2,FALSE)</f>
        <v>M</v>
      </c>
      <c r="F52" s="20" t="s">
        <v>226</v>
      </c>
      <c r="G52" s="20">
        <f>HLOOKUP(F52,$B$43:$O$49,7,0)</f>
        <v>169</v>
      </c>
      <c r="I52" s="52" t="s">
        <v>225</v>
      </c>
      <c r="J52" s="18">
        <f>HLOOKUP(J51,$B$43:$O$49,7,0)</f>
        <v>169</v>
      </c>
      <c r="K52" s="18">
        <f>HLOOKUP(K51,$B$43:$O$49,7,0)</f>
        <v>134</v>
      </c>
    </row>
    <row r="53" spans="3:7">
      <c r="C53" s="20" t="s">
        <v>228</v>
      </c>
      <c r="D53" s="20" t="str">
        <f>HLOOKUP(C53,$B$43:$O$44,2,FALSE)</f>
        <v> M </v>
      </c>
      <c r="F53" s="20" t="s">
        <v>241</v>
      </c>
      <c r="G53" s="20">
        <f>HLOOKUP(F53,$B$43:$O$49,7,0)</f>
        <v>132</v>
      </c>
    </row>
    <row r="54" spans="3:7">
      <c r="C54" s="10"/>
      <c r="D54" s="10"/>
      <c r="F54" s="10"/>
      <c r="G54" s="10"/>
    </row>
    <row r="56" spans="2:7">
      <c r="B56" s="52" t="s">
        <v>163</v>
      </c>
      <c r="C56" s="52" t="s">
        <v>165</v>
      </c>
      <c r="D56" s="52" t="s">
        <v>221</v>
      </c>
      <c r="E56" s="52" t="s">
        <v>222</v>
      </c>
      <c r="F56" s="52" t="s">
        <v>260</v>
      </c>
      <c r="G56" s="52" t="s">
        <v>261</v>
      </c>
    </row>
    <row r="57" spans="2:7">
      <c r="B57" s="20" t="s">
        <v>226</v>
      </c>
      <c r="C57" s="20" t="s">
        <v>175</v>
      </c>
      <c r="D57" s="20">
        <v>19</v>
      </c>
      <c r="E57" s="20">
        <v>10</v>
      </c>
      <c r="F57" s="20" t="s">
        <v>262</v>
      </c>
      <c r="G57" s="49">
        <f>HLOOKUP(F57,$J$59:$M$60,2,FALSE)</f>
        <v>45576</v>
      </c>
    </row>
    <row r="58" spans="2:7">
      <c r="B58" s="20" t="s">
        <v>228</v>
      </c>
      <c r="C58" s="20" t="s">
        <v>263</v>
      </c>
      <c r="D58" s="20">
        <v>20</v>
      </c>
      <c r="E58" s="20">
        <v>10</v>
      </c>
      <c r="F58" s="20" t="s">
        <v>264</v>
      </c>
      <c r="G58" s="49">
        <f t="shared" ref="G58:G70" si="3">HLOOKUP(F58,$J$59:$M$60,2,FALSE)</f>
        <v>45577</v>
      </c>
    </row>
    <row r="59" spans="2:13">
      <c r="B59" s="20" t="s">
        <v>265</v>
      </c>
      <c r="C59" s="20" t="s">
        <v>171</v>
      </c>
      <c r="D59" s="20">
        <v>20</v>
      </c>
      <c r="E59" s="20">
        <v>10</v>
      </c>
      <c r="F59" s="20" t="s">
        <v>266</v>
      </c>
      <c r="G59" s="49">
        <f t="shared" si="3"/>
        <v>45578</v>
      </c>
      <c r="I59" s="52" t="s">
        <v>260</v>
      </c>
      <c r="J59" s="55" t="s">
        <v>262</v>
      </c>
      <c r="K59" s="55" t="s">
        <v>264</v>
      </c>
      <c r="L59" s="55" t="s">
        <v>266</v>
      </c>
      <c r="M59" s="55" t="s">
        <v>267</v>
      </c>
    </row>
    <row r="60" spans="2:13">
      <c r="B60" s="20" t="s">
        <v>232</v>
      </c>
      <c r="C60" s="56" t="s">
        <v>171</v>
      </c>
      <c r="D60" s="20">
        <v>18</v>
      </c>
      <c r="E60" s="20">
        <v>10</v>
      </c>
      <c r="F60" s="20" t="s">
        <v>267</v>
      </c>
      <c r="G60" s="49">
        <f t="shared" si="3"/>
        <v>45579</v>
      </c>
      <c r="I60" s="52" t="s">
        <v>268</v>
      </c>
      <c r="J60" s="58">
        <v>45576</v>
      </c>
      <c r="K60" s="58">
        <v>45577</v>
      </c>
      <c r="L60" s="58">
        <v>45578</v>
      </c>
      <c r="M60" s="58">
        <v>45579</v>
      </c>
    </row>
    <row r="61" spans="2:7">
      <c r="B61" s="20" t="s">
        <v>234</v>
      </c>
      <c r="C61" s="20" t="s">
        <v>269</v>
      </c>
      <c r="D61" s="20">
        <v>17</v>
      </c>
      <c r="E61" s="20">
        <v>10</v>
      </c>
      <c r="F61" s="20" t="s">
        <v>262</v>
      </c>
      <c r="G61" s="49">
        <f t="shared" si="3"/>
        <v>45576</v>
      </c>
    </row>
    <row r="62" spans="2:7">
      <c r="B62" s="20" t="s">
        <v>237</v>
      </c>
      <c r="C62" s="20" t="s">
        <v>263</v>
      </c>
      <c r="D62" s="20">
        <v>19</v>
      </c>
      <c r="E62" s="20">
        <v>10</v>
      </c>
      <c r="F62" s="20" t="s">
        <v>264</v>
      </c>
      <c r="G62" s="49">
        <f t="shared" si="3"/>
        <v>45577</v>
      </c>
    </row>
    <row r="63" spans="2:7">
      <c r="B63" s="20" t="s">
        <v>238</v>
      </c>
      <c r="C63" s="20" t="s">
        <v>263</v>
      </c>
      <c r="D63" s="20">
        <v>20</v>
      </c>
      <c r="E63" s="20">
        <v>10</v>
      </c>
      <c r="F63" s="20" t="s">
        <v>266</v>
      </c>
      <c r="G63" s="49">
        <f t="shared" si="3"/>
        <v>45578</v>
      </c>
    </row>
    <row r="64" spans="2:7">
      <c r="B64" s="20" t="s">
        <v>239</v>
      </c>
      <c r="C64" s="20" t="s">
        <v>263</v>
      </c>
      <c r="D64" s="20">
        <v>21</v>
      </c>
      <c r="E64" s="20">
        <v>10</v>
      </c>
      <c r="F64" s="20" t="s">
        <v>267</v>
      </c>
      <c r="G64" s="49">
        <f t="shared" si="3"/>
        <v>45579</v>
      </c>
    </row>
    <row r="65" spans="2:7">
      <c r="B65" s="20" t="s">
        <v>240</v>
      </c>
      <c r="C65" s="20" t="s">
        <v>171</v>
      </c>
      <c r="D65" s="20">
        <v>22</v>
      </c>
      <c r="E65" s="20">
        <v>10</v>
      </c>
      <c r="F65" s="20" t="s">
        <v>262</v>
      </c>
      <c r="G65" s="49">
        <f t="shared" si="3"/>
        <v>45576</v>
      </c>
    </row>
    <row r="66" spans="2:7">
      <c r="B66" s="20" t="s">
        <v>241</v>
      </c>
      <c r="C66" s="20" t="s">
        <v>263</v>
      </c>
      <c r="D66" s="20">
        <v>18</v>
      </c>
      <c r="E66" s="20">
        <v>10</v>
      </c>
      <c r="F66" s="20" t="s">
        <v>264</v>
      </c>
      <c r="G66" s="49">
        <f t="shared" si="3"/>
        <v>45577</v>
      </c>
    </row>
    <row r="67" spans="2:7">
      <c r="B67" s="20" t="s">
        <v>242</v>
      </c>
      <c r="C67" s="20" t="s">
        <v>263</v>
      </c>
      <c r="D67" s="20">
        <v>21</v>
      </c>
      <c r="E67" s="20">
        <v>10</v>
      </c>
      <c r="F67" s="20" t="s">
        <v>266</v>
      </c>
      <c r="G67" s="49">
        <f t="shared" si="3"/>
        <v>45578</v>
      </c>
    </row>
    <row r="68" spans="2:7">
      <c r="B68" s="20" t="s">
        <v>243</v>
      </c>
      <c r="C68" s="20" t="s">
        <v>263</v>
      </c>
      <c r="D68" s="20">
        <v>20</v>
      </c>
      <c r="E68" s="20">
        <v>10</v>
      </c>
      <c r="F68" s="20" t="s">
        <v>267</v>
      </c>
      <c r="G68" s="49">
        <f t="shared" si="3"/>
        <v>45579</v>
      </c>
    </row>
    <row r="69" spans="2:7">
      <c r="B69" s="20" t="s">
        <v>236</v>
      </c>
      <c r="C69" s="20" t="s">
        <v>171</v>
      </c>
      <c r="D69" s="20">
        <v>22</v>
      </c>
      <c r="E69" s="20">
        <v>10</v>
      </c>
      <c r="F69" s="20" t="s">
        <v>262</v>
      </c>
      <c r="G69" s="49">
        <f t="shared" si="3"/>
        <v>45576</v>
      </c>
    </row>
    <row r="70" spans="2:7">
      <c r="B70" s="20" t="s">
        <v>244</v>
      </c>
      <c r="C70" s="20" t="s">
        <v>263</v>
      </c>
      <c r="D70" s="20">
        <v>23</v>
      </c>
      <c r="E70" s="20">
        <v>10</v>
      </c>
      <c r="F70" s="20" t="s">
        <v>262</v>
      </c>
      <c r="G70" s="49">
        <f t="shared" si="3"/>
        <v>45576</v>
      </c>
    </row>
  </sheetData>
  <mergeCells count="4">
    <mergeCell ref="A4:G4"/>
    <mergeCell ref="A5:G5"/>
    <mergeCell ref="A1:Q2"/>
    <mergeCell ref="A39:Q40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topLeftCell="A4" workbookViewId="0">
      <selection activeCell="A15" sqref="A15:B22"/>
    </sheetView>
  </sheetViews>
  <sheetFormatPr defaultColWidth="9" defaultRowHeight="15"/>
  <cols>
    <col min="2" max="2" width="9.28571428571429" customWidth="1"/>
    <col min="3" max="3" width="11.8571428571429" customWidth="1"/>
    <col min="7" max="7" width="15.5714285714286" customWidth="1"/>
    <col min="8" max="8" width="20.4285714285714" customWidth="1"/>
    <col min="9" max="9" width="17.7142857142857" customWidth="1"/>
    <col min="10" max="10" width="18.1428571428571" customWidth="1"/>
  </cols>
  <sheetData>
    <row r="1" spans="1:20">
      <c r="A1" s="38" t="s">
        <v>270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4" spans="1:1">
      <c r="A4" s="33" t="s">
        <v>271</v>
      </c>
    </row>
    <row r="6" ht="18.75" spans="1:10">
      <c r="A6" s="39" t="s">
        <v>272</v>
      </c>
      <c r="B6" s="40"/>
      <c r="C6" s="40"/>
      <c r="D6" s="40"/>
      <c r="E6" s="40"/>
      <c r="G6" s="41" t="s">
        <v>273</v>
      </c>
      <c r="H6" s="42" t="s">
        <v>274</v>
      </c>
      <c r="I6" s="42" t="s">
        <v>275</v>
      </c>
      <c r="J6" s="42" t="s">
        <v>276</v>
      </c>
    </row>
    <row r="7" spans="1:10">
      <c r="A7" s="43"/>
      <c r="G7" s="18">
        <v>2</v>
      </c>
      <c r="H7" s="18">
        <v>3</v>
      </c>
      <c r="I7" s="18" t="s">
        <v>277</v>
      </c>
      <c r="J7" t="s">
        <v>278</v>
      </c>
    </row>
    <row r="8" spans="1:9">
      <c r="A8" s="44" t="s">
        <v>279</v>
      </c>
      <c r="B8" s="45"/>
      <c r="C8" s="46"/>
      <c r="G8" s="18" t="s">
        <v>50</v>
      </c>
      <c r="H8" s="18">
        <v>5</v>
      </c>
      <c r="I8" s="18"/>
    </row>
    <row r="9" spans="1:9">
      <c r="A9" s="47" t="s">
        <v>280</v>
      </c>
      <c r="B9" s="47"/>
      <c r="C9" s="47"/>
      <c r="E9" s="48"/>
      <c r="G9" s="49">
        <v>46083</v>
      </c>
      <c r="H9" s="18">
        <v>7</v>
      </c>
      <c r="I9" s="18"/>
    </row>
    <row r="10" spans="1:9">
      <c r="A10" s="50" t="s">
        <v>281</v>
      </c>
      <c r="B10" s="50"/>
      <c r="C10" s="50"/>
      <c r="D10" s="48"/>
      <c r="E10" s="48"/>
      <c r="G10" s="18" t="e">
        <f>4/0</f>
        <v>#DIV/0!</v>
      </c>
      <c r="H10" s="18">
        <v>3</v>
      </c>
      <c r="I10" s="18"/>
    </row>
    <row r="11" spans="1:9">
      <c r="A11" s="50" t="s">
        <v>282</v>
      </c>
      <c r="B11" s="50"/>
      <c r="C11" s="50"/>
      <c r="D11" s="48"/>
      <c r="E11" s="48"/>
      <c r="G11" s="18" t="e">
        <f>sun</f>
        <v>#NAME?</v>
      </c>
      <c r="H11" s="18"/>
      <c r="I11" s="18"/>
    </row>
    <row r="12" spans="1:10">
      <c r="A12" s="50" t="s">
        <v>283</v>
      </c>
      <c r="B12" s="50"/>
      <c r="C12" s="50"/>
      <c r="D12" s="48"/>
      <c r="E12" s="48"/>
      <c r="G12" s="18">
        <v>6.909</v>
      </c>
      <c r="H12" s="18"/>
      <c r="I12" s="18"/>
      <c r="J12" t="s">
        <v>284</v>
      </c>
    </row>
    <row r="13" spans="7:9">
      <c r="G13" s="18"/>
      <c r="H13" s="18"/>
      <c r="I13" s="18"/>
    </row>
    <row r="14" spans="7:10">
      <c r="G14" s="18"/>
      <c r="H14" s="18"/>
      <c r="I14" s="18"/>
      <c r="J14" t="s">
        <v>285</v>
      </c>
    </row>
    <row r="15" spans="1:2">
      <c r="A15" s="26" t="s">
        <v>286</v>
      </c>
      <c r="B15" s="26"/>
    </row>
    <row r="16" spans="1:2">
      <c r="A16" s="26" t="s">
        <v>287</v>
      </c>
      <c r="B16" s="26"/>
    </row>
    <row r="17" spans="1:2">
      <c r="A17" s="26" t="s">
        <v>261</v>
      </c>
      <c r="B17" s="26"/>
    </row>
    <row r="18" spans="1:2">
      <c r="A18" s="26" t="s">
        <v>288</v>
      </c>
      <c r="B18" s="26"/>
    </row>
    <row r="19" spans="1:2">
      <c r="A19" s="26" t="s">
        <v>289</v>
      </c>
      <c r="B19" s="26"/>
    </row>
    <row r="20" spans="1:2">
      <c r="A20" s="26" t="s">
        <v>290</v>
      </c>
      <c r="B20" s="26"/>
    </row>
    <row r="21" spans="1:2">
      <c r="A21" s="26" t="s">
        <v>291</v>
      </c>
      <c r="B21" s="26"/>
    </row>
    <row r="22" spans="1:2">
      <c r="A22" s="26" t="s">
        <v>292</v>
      </c>
      <c r="B22" s="26"/>
    </row>
    <row r="23" spans="1:2">
      <c r="A23" s="26" t="s">
        <v>293</v>
      </c>
      <c r="B23" s="26"/>
    </row>
  </sheetData>
  <mergeCells count="15">
    <mergeCell ref="A8:C8"/>
    <mergeCell ref="A9:C9"/>
    <mergeCell ref="A10:C10"/>
    <mergeCell ref="A11:C11"/>
    <mergeCell ref="A12:C1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:T2"/>
  </mergeCells>
  <dataValidations count="3">
    <dataValidation type="whole" operator="between" allowBlank="1" showInputMessage="1" showErrorMessage="1" errorTitle="ERROR " error="PLEASE ENTER THE NUMBER BTEN 2 TO 9" promptTitle="NUMBERS" prompt="PLEASE ENTER WHOLE NUMBER" sqref="H7:H14" errorStyle="warning">
      <formula1>2</formula1>
      <formula2>9</formula2>
    </dataValidation>
    <dataValidation type="textLength" operator="between" allowBlank="1" showInputMessage="1" showErrorMessage="1" errorTitle="ERROR" error="CHECK VALUES" promptTitle="TEXT DATA" prompt="ENTER TEXT DATA" sqref="I7:I14" errorStyle="information">
      <formula1>0</formula1>
      <formula2>7</formula2>
    </dataValidation>
    <dataValidation type="list" allowBlank="1" showInputMessage="1" showErrorMessage="1" sqref="J7:J14">
      <formula1>"male , female , other"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opLeftCell="A24" workbookViewId="0">
      <selection activeCell="G41" sqref="F34:M54"/>
    </sheetView>
  </sheetViews>
  <sheetFormatPr defaultColWidth="9" defaultRowHeight="15"/>
  <cols>
    <col min="1" max="1" width="9.14285714285714" customWidth="1"/>
    <col min="6" max="6" width="15.7142857142857" customWidth="1"/>
    <col min="7" max="7" width="18.4285714285714" customWidth="1"/>
    <col min="8" max="8" width="14.4285714285714" customWidth="1"/>
    <col min="9" max="9" width="14.1428571428571" customWidth="1"/>
    <col min="10" max="10" width="14.5714285714286" customWidth="1"/>
    <col min="11" max="11" width="15.4285714285714" customWidth="1"/>
    <col min="12" max="13" width="15.5714285714286" customWidth="1"/>
    <col min="14" max="14" width="16.8571428571429" customWidth="1"/>
  </cols>
  <sheetData>
    <row r="1" customHeight="1" spans="1:14">
      <c r="A1" s="32" t="s">
        <v>294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customHeight="1" spans="1:14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customHeight="1"/>
    <row r="4" spans="1:12">
      <c r="A4" t="s">
        <v>295</v>
      </c>
      <c r="K4" s="37" t="s">
        <v>296</v>
      </c>
      <c r="L4" s="18" t="s">
        <v>297</v>
      </c>
    </row>
    <row r="5" spans="6:6">
      <c r="F5" s="33"/>
    </row>
    <row r="7" spans="6:13">
      <c r="F7" s="34" t="s">
        <v>298</v>
      </c>
      <c r="G7" s="34" t="s">
        <v>299</v>
      </c>
      <c r="H7" s="34" t="s">
        <v>300</v>
      </c>
      <c r="I7" s="34" t="s">
        <v>301</v>
      </c>
      <c r="J7" s="34" t="s">
        <v>302</v>
      </c>
      <c r="K7" s="34" t="s">
        <v>303</v>
      </c>
      <c r="L7" s="34" t="s">
        <v>304</v>
      </c>
      <c r="M7" s="34" t="s">
        <v>305</v>
      </c>
    </row>
    <row r="8" spans="6:13">
      <c r="F8" s="35" t="s">
        <v>306</v>
      </c>
      <c r="G8" s="35" t="s">
        <v>307</v>
      </c>
      <c r="H8" s="35" t="s">
        <v>308</v>
      </c>
      <c r="I8" s="35">
        <v>55000</v>
      </c>
      <c r="J8" s="35">
        <v>10</v>
      </c>
      <c r="K8" s="35">
        <v>2</v>
      </c>
      <c r="L8" s="35" t="s">
        <v>309</v>
      </c>
      <c r="M8" s="35" t="s">
        <v>310</v>
      </c>
    </row>
    <row r="9" spans="6:13">
      <c r="F9" s="35" t="s">
        <v>306</v>
      </c>
      <c r="G9" s="35" t="s">
        <v>307</v>
      </c>
      <c r="H9" s="35" t="s">
        <v>311</v>
      </c>
      <c r="I9" s="35">
        <v>60000</v>
      </c>
      <c r="J9" s="35">
        <v>8</v>
      </c>
      <c r="K9" s="35">
        <v>2</v>
      </c>
      <c r="L9" s="35" t="s">
        <v>312</v>
      </c>
      <c r="M9" s="35" t="s">
        <v>310</v>
      </c>
    </row>
    <row r="10" spans="6:13">
      <c r="F10" s="35" t="s">
        <v>313</v>
      </c>
      <c r="G10" s="35" t="s">
        <v>314</v>
      </c>
      <c r="H10" s="35" t="s">
        <v>315</v>
      </c>
      <c r="I10" s="35">
        <v>25000</v>
      </c>
      <c r="J10" s="35">
        <v>20</v>
      </c>
      <c r="K10" s="35">
        <v>1</v>
      </c>
      <c r="L10" s="35" t="s">
        <v>309</v>
      </c>
      <c r="M10" s="35" t="s">
        <v>316</v>
      </c>
    </row>
    <row r="11" spans="6:13">
      <c r="F11" s="35" t="s">
        <v>313</v>
      </c>
      <c r="G11" s="35" t="s">
        <v>314</v>
      </c>
      <c r="H11" s="35" t="s">
        <v>317</v>
      </c>
      <c r="I11" s="35">
        <v>75000</v>
      </c>
      <c r="J11" s="35">
        <v>5</v>
      </c>
      <c r="K11" s="35">
        <v>1</v>
      </c>
      <c r="L11" s="35" t="s">
        <v>312</v>
      </c>
      <c r="M11" s="35" t="s">
        <v>310</v>
      </c>
    </row>
    <row r="12" spans="6:13">
      <c r="F12" s="35" t="s">
        <v>318</v>
      </c>
      <c r="G12" s="35" t="s">
        <v>307</v>
      </c>
      <c r="H12" s="35" t="s">
        <v>319</v>
      </c>
      <c r="I12" s="35">
        <v>20000</v>
      </c>
      <c r="J12" s="35">
        <v>12</v>
      </c>
      <c r="K12" s="35">
        <v>1</v>
      </c>
      <c r="L12" s="35" t="s">
        <v>320</v>
      </c>
      <c r="M12" s="35" t="s">
        <v>310</v>
      </c>
    </row>
    <row r="13" spans="6:13">
      <c r="F13" s="35" t="s">
        <v>321</v>
      </c>
      <c r="G13" s="35" t="s">
        <v>322</v>
      </c>
      <c r="H13" s="35" t="s">
        <v>323</v>
      </c>
      <c r="I13" s="35">
        <v>2000</v>
      </c>
      <c r="J13" s="35">
        <v>50</v>
      </c>
      <c r="K13" s="35">
        <v>1</v>
      </c>
      <c r="L13" s="35" t="s">
        <v>324</v>
      </c>
      <c r="M13" s="35" t="s">
        <v>316</v>
      </c>
    </row>
    <row r="14" spans="6:13">
      <c r="F14" s="35" t="s">
        <v>321</v>
      </c>
      <c r="G14" s="35" t="s">
        <v>322</v>
      </c>
      <c r="H14" s="35" t="s">
        <v>325</v>
      </c>
      <c r="I14" s="35">
        <v>5000</v>
      </c>
      <c r="J14" s="35">
        <v>15</v>
      </c>
      <c r="K14" s="35">
        <v>1</v>
      </c>
      <c r="L14" s="35" t="s">
        <v>324</v>
      </c>
      <c r="M14" s="35" t="s">
        <v>316</v>
      </c>
    </row>
    <row r="15" spans="6:13">
      <c r="F15" s="35" t="s">
        <v>326</v>
      </c>
      <c r="G15" s="35" t="s">
        <v>327</v>
      </c>
      <c r="H15" s="35" t="s">
        <v>317</v>
      </c>
      <c r="I15" s="35">
        <v>40000</v>
      </c>
      <c r="J15" s="35">
        <v>6</v>
      </c>
      <c r="K15" s="35">
        <v>1</v>
      </c>
      <c r="L15" s="35" t="s">
        <v>312</v>
      </c>
      <c r="M15" s="35" t="s">
        <v>310</v>
      </c>
    </row>
    <row r="16" spans="6:13">
      <c r="F16" s="35" t="s">
        <v>326</v>
      </c>
      <c r="G16" s="35" t="s">
        <v>327</v>
      </c>
      <c r="H16" s="35" t="s">
        <v>315</v>
      </c>
      <c r="I16" s="35">
        <v>30000</v>
      </c>
      <c r="J16" s="35">
        <v>9</v>
      </c>
      <c r="K16" s="35">
        <v>1</v>
      </c>
      <c r="L16" s="35" t="s">
        <v>309</v>
      </c>
      <c r="M16" s="35" t="s">
        <v>316</v>
      </c>
    </row>
    <row r="17" spans="6:13">
      <c r="F17" s="35" t="s">
        <v>328</v>
      </c>
      <c r="G17" s="35" t="s">
        <v>322</v>
      </c>
      <c r="H17" s="35" t="s">
        <v>329</v>
      </c>
      <c r="I17" s="35">
        <v>3000</v>
      </c>
      <c r="J17" s="35">
        <v>25</v>
      </c>
      <c r="K17" s="35">
        <v>1</v>
      </c>
      <c r="L17" s="35" t="s">
        <v>320</v>
      </c>
      <c r="M17" s="35" t="s">
        <v>310</v>
      </c>
    </row>
    <row r="18" spans="6:13">
      <c r="F18" s="35" t="s">
        <v>330</v>
      </c>
      <c r="G18" s="35" t="s">
        <v>322</v>
      </c>
      <c r="H18" s="35" t="s">
        <v>329</v>
      </c>
      <c r="I18" s="35">
        <v>1500</v>
      </c>
      <c r="J18" s="35">
        <v>30</v>
      </c>
      <c r="K18" s="35">
        <v>1</v>
      </c>
      <c r="L18" s="35" t="s">
        <v>320</v>
      </c>
      <c r="M18" s="35" t="s">
        <v>310</v>
      </c>
    </row>
    <row r="19" spans="6:13">
      <c r="F19" s="35" t="s">
        <v>331</v>
      </c>
      <c r="G19" s="35" t="s">
        <v>332</v>
      </c>
      <c r="H19" s="35" t="s">
        <v>333</v>
      </c>
      <c r="I19" s="35">
        <v>18000</v>
      </c>
      <c r="J19" s="35">
        <v>7</v>
      </c>
      <c r="K19" s="35">
        <v>3</v>
      </c>
      <c r="L19" s="35" t="s">
        <v>334</v>
      </c>
      <c r="M19" s="35" t="s">
        <v>316</v>
      </c>
    </row>
    <row r="20" spans="6:13">
      <c r="F20" s="35" t="s">
        <v>331</v>
      </c>
      <c r="G20" s="35" t="s">
        <v>332</v>
      </c>
      <c r="H20" s="35" t="s">
        <v>315</v>
      </c>
      <c r="I20" s="35">
        <v>22000</v>
      </c>
      <c r="J20" s="35">
        <v>6</v>
      </c>
      <c r="K20" s="35">
        <v>3</v>
      </c>
      <c r="L20" s="35" t="s">
        <v>334</v>
      </c>
      <c r="M20" s="35" t="s">
        <v>310</v>
      </c>
    </row>
    <row r="21" spans="6:13">
      <c r="F21" s="35" t="s">
        <v>335</v>
      </c>
      <c r="G21" s="35" t="s">
        <v>336</v>
      </c>
      <c r="H21" s="35" t="s">
        <v>311</v>
      </c>
      <c r="I21" s="35">
        <v>12000</v>
      </c>
      <c r="J21" s="35">
        <v>4</v>
      </c>
      <c r="K21" s="35">
        <v>2</v>
      </c>
      <c r="L21" s="35" t="s">
        <v>337</v>
      </c>
      <c r="M21" s="35" t="s">
        <v>316</v>
      </c>
    </row>
    <row r="22" spans="6:13">
      <c r="F22" s="35" t="s">
        <v>335</v>
      </c>
      <c r="G22" s="35" t="s">
        <v>336</v>
      </c>
      <c r="H22" s="35" t="s">
        <v>338</v>
      </c>
      <c r="I22" s="35">
        <v>14000</v>
      </c>
      <c r="J22" s="35">
        <v>3</v>
      </c>
      <c r="K22" s="35">
        <v>2</v>
      </c>
      <c r="L22" s="35" t="s">
        <v>337</v>
      </c>
      <c r="M22" s="35" t="s">
        <v>310</v>
      </c>
    </row>
    <row r="23" spans="6:13">
      <c r="F23" s="35" t="s">
        <v>339</v>
      </c>
      <c r="G23" s="35" t="s">
        <v>340</v>
      </c>
      <c r="H23" s="35" t="s">
        <v>338</v>
      </c>
      <c r="I23" s="35">
        <v>45000</v>
      </c>
      <c r="J23" s="35">
        <v>5</v>
      </c>
      <c r="K23" s="35">
        <v>2</v>
      </c>
      <c r="L23" s="35" t="s">
        <v>341</v>
      </c>
      <c r="M23" s="35" t="s">
        <v>310</v>
      </c>
    </row>
    <row r="24" spans="6:13">
      <c r="F24" s="35" t="s">
        <v>339</v>
      </c>
      <c r="G24" s="35" t="s">
        <v>340</v>
      </c>
      <c r="H24" s="35" t="s">
        <v>325</v>
      </c>
      <c r="I24" s="35">
        <v>50000</v>
      </c>
      <c r="J24" s="35">
        <v>4</v>
      </c>
      <c r="K24" s="35">
        <v>2</v>
      </c>
      <c r="L24" s="35" t="s">
        <v>341</v>
      </c>
      <c r="M24" s="35" t="s">
        <v>316</v>
      </c>
    </row>
    <row r="25" spans="6:13">
      <c r="F25" s="35" t="s">
        <v>342</v>
      </c>
      <c r="G25" s="35" t="s">
        <v>343</v>
      </c>
      <c r="H25" s="35" t="s">
        <v>344</v>
      </c>
      <c r="I25" s="35">
        <v>8000</v>
      </c>
      <c r="J25" s="35">
        <v>18</v>
      </c>
      <c r="K25" s="35">
        <v>1</v>
      </c>
      <c r="L25" s="35" t="s">
        <v>324</v>
      </c>
      <c r="M25" s="35" t="s">
        <v>316</v>
      </c>
    </row>
    <row r="26" spans="6:13">
      <c r="F26" s="35" t="s">
        <v>342</v>
      </c>
      <c r="G26" s="35" t="s">
        <v>343</v>
      </c>
      <c r="H26" s="35" t="s">
        <v>325</v>
      </c>
      <c r="I26" s="35">
        <v>10000</v>
      </c>
      <c r="J26" s="35">
        <v>12</v>
      </c>
      <c r="K26" s="35">
        <v>1</v>
      </c>
      <c r="L26" s="35" t="s">
        <v>324</v>
      </c>
      <c r="M26" s="35" t="s">
        <v>310</v>
      </c>
    </row>
    <row r="27" spans="6:13">
      <c r="F27" s="35" t="s">
        <v>345</v>
      </c>
      <c r="G27" s="35" t="s">
        <v>346</v>
      </c>
      <c r="H27" s="35" t="s">
        <v>347</v>
      </c>
      <c r="I27" s="35">
        <v>3500</v>
      </c>
      <c r="J27" s="35">
        <v>22</v>
      </c>
      <c r="K27" s="35">
        <v>2</v>
      </c>
      <c r="L27" s="35" t="s">
        <v>348</v>
      </c>
      <c r="M27" s="35" t="s">
        <v>310</v>
      </c>
    </row>
    <row r="29" customHeight="1" spans="1:14">
      <c r="A29" s="36" t="s">
        <v>349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customHeight="1" spans="1:14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</row>
    <row r="32" spans="1:1">
      <c r="A32" t="s">
        <v>350</v>
      </c>
    </row>
    <row r="34" spans="6:13">
      <c r="F34" s="34" t="s">
        <v>298</v>
      </c>
      <c r="G34" s="34" t="s">
        <v>299</v>
      </c>
      <c r="H34" s="34" t="s">
        <v>300</v>
      </c>
      <c r="I34" s="34" t="s">
        <v>301</v>
      </c>
      <c r="J34" s="34" t="s">
        <v>302</v>
      </c>
      <c r="K34" s="34" t="s">
        <v>303</v>
      </c>
      <c r="L34" s="34" t="s">
        <v>304</v>
      </c>
      <c r="M34" s="34" t="s">
        <v>305</v>
      </c>
    </row>
    <row r="35" spans="6:13">
      <c r="F35" s="35" t="s">
        <v>306</v>
      </c>
      <c r="G35" s="35" t="s">
        <v>307</v>
      </c>
      <c r="H35" s="35" t="s">
        <v>308</v>
      </c>
      <c r="I35" s="35">
        <v>55000</v>
      </c>
      <c r="J35" s="35">
        <v>10</v>
      </c>
      <c r="K35" s="35">
        <v>2</v>
      </c>
      <c r="L35" s="35" t="s">
        <v>309</v>
      </c>
      <c r="M35" s="35" t="s">
        <v>310</v>
      </c>
    </row>
    <row r="36" spans="6:13">
      <c r="F36" s="35" t="s">
        <v>306</v>
      </c>
      <c r="G36" s="35" t="s">
        <v>307</v>
      </c>
      <c r="H36" s="35" t="s">
        <v>311</v>
      </c>
      <c r="I36" s="35">
        <v>60000</v>
      </c>
      <c r="J36" s="35">
        <v>8</v>
      </c>
      <c r="K36" s="35">
        <v>2</v>
      </c>
      <c r="L36" s="35" t="s">
        <v>312</v>
      </c>
      <c r="M36" s="35" t="s">
        <v>310</v>
      </c>
    </row>
    <row r="37" spans="6:13">
      <c r="F37" s="35" t="s">
        <v>313</v>
      </c>
      <c r="G37" s="35" t="s">
        <v>314</v>
      </c>
      <c r="H37" s="35" t="s">
        <v>315</v>
      </c>
      <c r="I37" s="35">
        <v>25000</v>
      </c>
      <c r="J37" s="35">
        <v>20</v>
      </c>
      <c r="K37" s="35">
        <v>1</v>
      </c>
      <c r="L37" s="35" t="s">
        <v>309</v>
      </c>
      <c r="M37" s="35" t="s">
        <v>316</v>
      </c>
    </row>
    <row r="38" spans="6:13">
      <c r="F38" s="35" t="s">
        <v>313</v>
      </c>
      <c r="G38" s="35" t="s">
        <v>314</v>
      </c>
      <c r="H38" s="35" t="s">
        <v>317</v>
      </c>
      <c r="I38" s="35">
        <v>75000</v>
      </c>
      <c r="J38" s="35">
        <v>5</v>
      </c>
      <c r="K38" s="35">
        <v>1</v>
      </c>
      <c r="L38" s="35" t="s">
        <v>312</v>
      </c>
      <c r="M38" s="35" t="s">
        <v>310</v>
      </c>
    </row>
    <row r="39" spans="6:13">
      <c r="F39" s="35" t="s">
        <v>318</v>
      </c>
      <c r="G39" s="35" t="s">
        <v>307</v>
      </c>
      <c r="H39" s="35" t="s">
        <v>319</v>
      </c>
      <c r="I39" s="35">
        <v>20000</v>
      </c>
      <c r="J39" s="35">
        <v>12</v>
      </c>
      <c r="K39" s="35">
        <v>1</v>
      </c>
      <c r="L39" s="35" t="s">
        <v>320</v>
      </c>
      <c r="M39" s="35" t="s">
        <v>310</v>
      </c>
    </row>
    <row r="40" spans="6:13">
      <c r="F40" s="35" t="s">
        <v>321</v>
      </c>
      <c r="G40" s="35" t="s">
        <v>322</v>
      </c>
      <c r="H40" s="35" t="s">
        <v>323</v>
      </c>
      <c r="I40" s="35">
        <v>2000</v>
      </c>
      <c r="J40" s="35">
        <v>50</v>
      </c>
      <c r="K40" s="35">
        <v>1</v>
      </c>
      <c r="L40" s="35" t="s">
        <v>324</v>
      </c>
      <c r="M40" s="35" t="s">
        <v>316</v>
      </c>
    </row>
    <row r="41" spans="6:13">
      <c r="F41" s="35" t="s">
        <v>321</v>
      </c>
      <c r="G41" s="35" t="s">
        <v>322</v>
      </c>
      <c r="H41" s="35" t="s">
        <v>325</v>
      </c>
      <c r="I41" s="35">
        <v>5000</v>
      </c>
      <c r="J41" s="35">
        <v>15</v>
      </c>
      <c r="K41" s="35">
        <v>1</v>
      </c>
      <c r="L41" s="35" t="s">
        <v>324</v>
      </c>
      <c r="M41" s="35" t="s">
        <v>316</v>
      </c>
    </row>
    <row r="42" spans="6:13">
      <c r="F42" s="35" t="s">
        <v>326</v>
      </c>
      <c r="G42" s="35" t="s">
        <v>327</v>
      </c>
      <c r="H42" s="35" t="s">
        <v>317</v>
      </c>
      <c r="I42" s="35">
        <v>40000</v>
      </c>
      <c r="J42" s="35">
        <v>6</v>
      </c>
      <c r="K42" s="35">
        <v>1</v>
      </c>
      <c r="L42" s="35" t="s">
        <v>312</v>
      </c>
      <c r="M42" s="35" t="s">
        <v>310</v>
      </c>
    </row>
    <row r="43" spans="6:13">
      <c r="F43" s="35" t="s">
        <v>326</v>
      </c>
      <c r="G43" s="35" t="s">
        <v>327</v>
      </c>
      <c r="H43" s="35" t="s">
        <v>315</v>
      </c>
      <c r="I43" s="35">
        <v>30000</v>
      </c>
      <c r="J43" s="35">
        <v>9</v>
      </c>
      <c r="K43" s="35">
        <v>1</v>
      </c>
      <c r="L43" s="35" t="s">
        <v>309</v>
      </c>
      <c r="M43" s="35" t="s">
        <v>316</v>
      </c>
    </row>
    <row r="44" spans="6:13">
      <c r="F44" s="35" t="s">
        <v>328</v>
      </c>
      <c r="G44" s="35" t="s">
        <v>322</v>
      </c>
      <c r="H44" s="35" t="s">
        <v>329</v>
      </c>
      <c r="I44" s="35">
        <v>3000</v>
      </c>
      <c r="J44" s="35">
        <v>25</v>
      </c>
      <c r="K44" s="35">
        <v>1</v>
      </c>
      <c r="L44" s="35" t="s">
        <v>320</v>
      </c>
      <c r="M44" s="35" t="s">
        <v>310</v>
      </c>
    </row>
    <row r="45" spans="6:13">
      <c r="F45" s="35" t="s">
        <v>330</v>
      </c>
      <c r="G45" s="35" t="s">
        <v>322</v>
      </c>
      <c r="H45" s="35" t="s">
        <v>329</v>
      </c>
      <c r="I45" s="35">
        <v>1500</v>
      </c>
      <c r="J45" s="35">
        <v>30</v>
      </c>
      <c r="K45" s="35">
        <v>1</v>
      </c>
      <c r="L45" s="35" t="s">
        <v>320</v>
      </c>
      <c r="M45" s="35" t="s">
        <v>310</v>
      </c>
    </row>
    <row r="46" spans="6:13">
      <c r="F46" s="35" t="s">
        <v>331</v>
      </c>
      <c r="G46" s="35" t="s">
        <v>332</v>
      </c>
      <c r="H46" s="35" t="s">
        <v>333</v>
      </c>
      <c r="I46" s="35">
        <v>18000</v>
      </c>
      <c r="J46" s="35">
        <v>7</v>
      </c>
      <c r="K46" s="35">
        <v>3</v>
      </c>
      <c r="L46" s="35" t="s">
        <v>334</v>
      </c>
      <c r="M46" s="35" t="s">
        <v>316</v>
      </c>
    </row>
    <row r="47" spans="6:13">
      <c r="F47" s="35" t="s">
        <v>331</v>
      </c>
      <c r="G47" s="35" t="s">
        <v>332</v>
      </c>
      <c r="H47" s="35" t="s">
        <v>315</v>
      </c>
      <c r="I47" s="35">
        <v>22000</v>
      </c>
      <c r="J47" s="35">
        <v>6</v>
      </c>
      <c r="K47" s="35">
        <v>3</v>
      </c>
      <c r="L47" s="35" t="s">
        <v>334</v>
      </c>
      <c r="M47" s="35" t="s">
        <v>310</v>
      </c>
    </row>
    <row r="48" spans="6:13">
      <c r="F48" s="35" t="s">
        <v>335</v>
      </c>
      <c r="G48" s="35" t="s">
        <v>336</v>
      </c>
      <c r="H48" s="35" t="s">
        <v>311</v>
      </c>
      <c r="I48" s="35">
        <v>12000</v>
      </c>
      <c r="J48" s="35">
        <v>4</v>
      </c>
      <c r="K48" s="35">
        <v>2</v>
      </c>
      <c r="L48" s="35" t="s">
        <v>337</v>
      </c>
      <c r="M48" s="35" t="s">
        <v>316</v>
      </c>
    </row>
    <row r="49" spans="6:13">
      <c r="F49" s="35" t="s">
        <v>335</v>
      </c>
      <c r="G49" s="35" t="s">
        <v>336</v>
      </c>
      <c r="H49" s="35" t="s">
        <v>338</v>
      </c>
      <c r="I49" s="35">
        <v>14000</v>
      </c>
      <c r="J49" s="35">
        <v>3</v>
      </c>
      <c r="K49" s="35">
        <v>2</v>
      </c>
      <c r="L49" s="35" t="s">
        <v>337</v>
      </c>
      <c r="M49" s="35" t="s">
        <v>310</v>
      </c>
    </row>
    <row r="50" spans="6:13">
      <c r="F50" s="35" t="s">
        <v>339</v>
      </c>
      <c r="G50" s="35" t="s">
        <v>340</v>
      </c>
      <c r="H50" s="35" t="s">
        <v>338</v>
      </c>
      <c r="I50" s="35">
        <v>45000</v>
      </c>
      <c r="J50" s="35">
        <v>5</v>
      </c>
      <c r="K50" s="35">
        <v>2</v>
      </c>
      <c r="L50" s="35" t="s">
        <v>341</v>
      </c>
      <c r="M50" s="35" t="s">
        <v>310</v>
      </c>
    </row>
    <row r="51" spans="6:13">
      <c r="F51" s="35" t="s">
        <v>339</v>
      </c>
      <c r="G51" s="35" t="s">
        <v>340</v>
      </c>
      <c r="H51" s="35" t="s">
        <v>325</v>
      </c>
      <c r="I51" s="35">
        <v>50000</v>
      </c>
      <c r="J51" s="35">
        <v>4</v>
      </c>
      <c r="K51" s="35">
        <v>2</v>
      </c>
      <c r="L51" s="35" t="s">
        <v>341</v>
      </c>
      <c r="M51" s="35" t="s">
        <v>316</v>
      </c>
    </row>
    <row r="52" spans="6:13">
      <c r="F52" s="35" t="s">
        <v>342</v>
      </c>
      <c r="G52" s="35" t="s">
        <v>343</v>
      </c>
      <c r="H52" s="35" t="s">
        <v>344</v>
      </c>
      <c r="I52" s="35">
        <v>8000</v>
      </c>
      <c r="J52" s="35">
        <v>18</v>
      </c>
      <c r="K52" s="35">
        <v>1</v>
      </c>
      <c r="L52" s="35" t="s">
        <v>324</v>
      </c>
      <c r="M52" s="35" t="s">
        <v>316</v>
      </c>
    </row>
    <row r="53" spans="6:13">
      <c r="F53" s="35" t="s">
        <v>342</v>
      </c>
      <c r="G53" s="35" t="s">
        <v>343</v>
      </c>
      <c r="H53" s="35" t="s">
        <v>325</v>
      </c>
      <c r="I53" s="35">
        <v>10000</v>
      </c>
      <c r="J53" s="35">
        <v>12</v>
      </c>
      <c r="K53" s="35">
        <v>1</v>
      </c>
      <c r="L53" s="35" t="s">
        <v>324</v>
      </c>
      <c r="M53" s="35" t="s">
        <v>310</v>
      </c>
    </row>
    <row r="54" spans="6:13">
      <c r="F54" s="35" t="s">
        <v>345</v>
      </c>
      <c r="G54" s="35" t="s">
        <v>346</v>
      </c>
      <c r="H54" s="35" t="s">
        <v>347</v>
      </c>
      <c r="I54" s="35">
        <v>3500</v>
      </c>
      <c r="J54" s="35">
        <v>22</v>
      </c>
      <c r="K54" s="35">
        <v>2</v>
      </c>
      <c r="L54" s="35" t="s">
        <v>348</v>
      </c>
      <c r="M54" s="35" t="s">
        <v>310</v>
      </c>
    </row>
  </sheetData>
  <autoFilter ref="F7:M27">
    <extLst/>
  </autoFilter>
  <mergeCells count="2">
    <mergeCell ref="A1:N2"/>
    <mergeCell ref="A29:N30"/>
  </mergeCell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"/>
  <sheetViews>
    <sheetView zoomScale="130" zoomScaleNormal="130" topLeftCell="Q1" workbookViewId="0">
      <selection activeCell="W5" sqref="W5"/>
    </sheetView>
  </sheetViews>
  <sheetFormatPr defaultColWidth="9" defaultRowHeight="15"/>
  <cols>
    <col min="7" max="7" width="13.4285714285714" customWidth="1"/>
    <col min="8" max="8" width="15.2857142857143" customWidth="1"/>
    <col min="9" max="9" width="17.5714285714286" customWidth="1"/>
    <col min="10" max="10" width="31.7142857142857" customWidth="1"/>
    <col min="11" max="11" width="32.7142857142857" customWidth="1"/>
    <col min="12" max="12" width="18.5714285714286" customWidth="1"/>
    <col min="13" max="13" width="15.1428571428571" customWidth="1"/>
    <col min="14" max="14" width="11.5714285714286" customWidth="1"/>
    <col min="15" max="15" width="10.8571428571429" customWidth="1"/>
    <col min="16" max="16" width="25.4285714285714" customWidth="1"/>
    <col min="24" max="24" width="13.8571428571429" customWidth="1"/>
    <col min="25" max="25" width="31.8571428571429" customWidth="1"/>
  </cols>
  <sheetData>
    <row r="1" customHeight="1" spans="1:25">
      <c r="A1" s="24" t="s">
        <v>351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4" spans="1:25">
      <c r="A4" s="25" t="s">
        <v>352</v>
      </c>
      <c r="B4" s="25"/>
      <c r="C4" s="25"/>
      <c r="D4" s="25"/>
      <c r="E4" s="26" t="s">
        <v>196</v>
      </c>
      <c r="G4" s="27" t="s">
        <v>353</v>
      </c>
      <c r="H4" s="27" t="s">
        <v>354</v>
      </c>
      <c r="I4" s="27" t="s">
        <v>165</v>
      </c>
      <c r="J4" s="27" t="s">
        <v>355</v>
      </c>
      <c r="K4" s="27" t="s">
        <v>356</v>
      </c>
      <c r="L4" s="27" t="s">
        <v>357</v>
      </c>
      <c r="M4" s="31" t="s">
        <v>358</v>
      </c>
      <c r="N4" s="31" t="s">
        <v>359</v>
      </c>
      <c r="O4" s="31" t="s">
        <v>360</v>
      </c>
      <c r="P4" s="31" t="s">
        <v>361</v>
      </c>
      <c r="Q4" s="31" t="s">
        <v>362</v>
      </c>
      <c r="R4" s="31" t="s">
        <v>363</v>
      </c>
      <c r="S4" s="31" t="s">
        <v>364</v>
      </c>
      <c r="T4" s="31" t="s">
        <v>365</v>
      </c>
      <c r="U4" s="31" t="s">
        <v>366</v>
      </c>
      <c r="V4" s="31" t="s">
        <v>367</v>
      </c>
      <c r="W4" s="31" t="s">
        <v>368</v>
      </c>
      <c r="X4" s="31" t="s">
        <v>369</v>
      </c>
      <c r="Y4" s="31" t="s">
        <v>370</v>
      </c>
    </row>
    <row r="5" spans="1:25">
      <c r="A5" s="25" t="s">
        <v>371</v>
      </c>
      <c r="B5" s="25"/>
      <c r="C5" s="25"/>
      <c r="D5" s="25"/>
      <c r="E5" s="25"/>
      <c r="G5" s="20" t="s">
        <v>372</v>
      </c>
      <c r="H5" s="20" t="s">
        <v>373</v>
      </c>
      <c r="I5" s="20" t="s">
        <v>374</v>
      </c>
      <c r="J5" s="20" t="s">
        <v>375</v>
      </c>
      <c r="K5" s="20" t="s">
        <v>376</v>
      </c>
      <c r="L5" s="20" t="s">
        <v>377</v>
      </c>
      <c r="M5" s="18" t="str">
        <f>UPPER(H5)</f>
        <v>MCGRATH</v>
      </c>
      <c r="N5" s="18" t="str">
        <f>LOWER(G5)</f>
        <v>jennifer </v>
      </c>
      <c r="O5" s="18" t="str">
        <f>PROPER(G5)</f>
        <v>Jennifer </v>
      </c>
      <c r="P5" s="18" t="str">
        <f>CONCATENATE(G5,H5)</f>
        <v>JENNIFER MCGRATH</v>
      </c>
      <c r="Q5" s="18" t="str">
        <f>LEFT(G5,2)</f>
        <v>JE</v>
      </c>
      <c r="R5" s="18" t="str">
        <f>RIGHT(H5,2)</f>
        <v>TH</v>
      </c>
      <c r="S5" s="18" t="str">
        <f>MID(G5,3,3)</f>
        <v>NNI</v>
      </c>
      <c r="T5" s="18">
        <f>LEN(G5)</f>
        <v>9</v>
      </c>
      <c r="U5" s="18">
        <f>FIND("J",G5,1)</f>
        <v>1</v>
      </c>
      <c r="V5" s="18">
        <f>SEARCH("j",G5,1)</f>
        <v>1</v>
      </c>
      <c r="W5" s="18" t="str">
        <f>REPLACE("J",1,1,"j")</f>
        <v>j</v>
      </c>
      <c r="X5" s="18" t="str">
        <f>TRIM(G5)</f>
        <v>JENNIFER</v>
      </c>
      <c r="Y5" s="18" t="str">
        <f>SUBSTITUTE(J5,"@aol.com","@gmail.com")</f>
        <v>JenniferJMcGrath@gmail.com</v>
      </c>
    </row>
    <row r="6" spans="1:25">
      <c r="A6" s="25" t="s">
        <v>378</v>
      </c>
      <c r="B6" s="25"/>
      <c r="C6" s="25"/>
      <c r="D6" s="25"/>
      <c r="E6" s="25"/>
      <c r="G6" s="20" t="s">
        <v>379</v>
      </c>
      <c r="H6" s="20" t="s">
        <v>380</v>
      </c>
      <c r="I6" s="20" t="s">
        <v>381</v>
      </c>
      <c r="J6" s="20" t="s">
        <v>382</v>
      </c>
      <c r="K6" s="20" t="s">
        <v>383</v>
      </c>
      <c r="L6" s="20" t="s">
        <v>384</v>
      </c>
      <c r="M6" s="18" t="str">
        <f t="shared" ref="M6:M18" si="0">UPPER(H6)</f>
        <v>LEWIS </v>
      </c>
      <c r="N6" s="18" t="str">
        <f t="shared" ref="N6:N18" si="1">LOWER(G6)</f>
        <v>chad</v>
      </c>
      <c r="O6" s="18" t="str">
        <f t="shared" ref="O6:O18" si="2">PROPER(G6)</f>
        <v>Chad</v>
      </c>
      <c r="P6" s="18" t="str">
        <f t="shared" ref="P6:P18" si="3">CONCATENATE(G6,H6)</f>
        <v>CHADLEWIS </v>
      </c>
      <c r="Q6" s="18" t="str">
        <f t="shared" ref="Q6:Q18" si="4">LEFT(G6,2)</f>
        <v>CH</v>
      </c>
      <c r="R6" s="18" t="str">
        <f t="shared" ref="R6:R18" si="5">RIGHT(H6,2)</f>
        <v>S </v>
      </c>
      <c r="S6" s="18" t="str">
        <f t="shared" ref="S6:S18" si="6">MID(G6,3,3)</f>
        <v>AD</v>
      </c>
      <c r="T6" s="18">
        <f t="shared" ref="T6:T18" si="7">LEN(G6)</f>
        <v>4</v>
      </c>
      <c r="U6" s="18" t="e">
        <f t="shared" ref="U6:U18" si="8">FIND("J",G6,1)</f>
        <v>#VALUE!</v>
      </c>
      <c r="V6" s="18" t="e">
        <f t="shared" ref="V6:V18" si="9">SEARCH("j",G6,1)</f>
        <v>#VALUE!</v>
      </c>
      <c r="W6" s="18"/>
      <c r="X6" s="18" t="str">
        <f t="shared" ref="X6:X18" si="10">TRIM(G6)</f>
        <v>CHAD</v>
      </c>
      <c r="Y6" s="18" t="str">
        <f>SUBSTITUTE(J6,"@aol.com","@gmail.com")</f>
        <v>ChadSLewis@gmail.com</v>
      </c>
    </row>
    <row r="7" spans="1:25">
      <c r="A7" s="25" t="s">
        <v>385</v>
      </c>
      <c r="B7" s="25"/>
      <c r="C7" s="25"/>
      <c r="D7" s="25"/>
      <c r="E7" s="25"/>
      <c r="G7" s="20" t="s">
        <v>386</v>
      </c>
      <c r="H7" s="20" t="s">
        <v>387</v>
      </c>
      <c r="I7" s="20" t="s">
        <v>374</v>
      </c>
      <c r="J7" s="20" t="s">
        <v>388</v>
      </c>
      <c r="K7" s="20" t="s">
        <v>389</v>
      </c>
      <c r="L7" s="20" t="s">
        <v>390</v>
      </c>
      <c r="M7" s="18" t="str">
        <f t="shared" si="0"/>
        <v>RODRIGUEZ</v>
      </c>
      <c r="N7" s="18" t="str">
        <f t="shared" si="1"/>
        <v>susan</v>
      </c>
      <c r="O7" s="18" t="str">
        <f t="shared" si="2"/>
        <v>Susan</v>
      </c>
      <c r="P7" s="18" t="str">
        <f t="shared" si="3"/>
        <v>SUSANRODRIGUEZ</v>
      </c>
      <c r="Q7" s="18" t="str">
        <f t="shared" si="4"/>
        <v>SU</v>
      </c>
      <c r="R7" s="18" t="str">
        <f t="shared" si="5"/>
        <v>EZ</v>
      </c>
      <c r="S7" s="18" t="str">
        <f t="shared" si="6"/>
        <v>SAN</v>
      </c>
      <c r="T7" s="18">
        <f t="shared" si="7"/>
        <v>5</v>
      </c>
      <c r="U7" s="18" t="e">
        <f t="shared" si="8"/>
        <v>#VALUE!</v>
      </c>
      <c r="V7" s="18" t="e">
        <f t="shared" si="9"/>
        <v>#VALUE!</v>
      </c>
      <c r="W7" s="18"/>
      <c r="X7" s="18" t="str">
        <f t="shared" si="10"/>
        <v>SUSAN</v>
      </c>
      <c r="Y7" s="18" t="str">
        <f t="shared" ref="Y7:Y18" si="11">SUBSTITUTE(J7,"@aol.com","@gmail.com")</f>
        <v>SusanSRodriguez@hotmail.com</v>
      </c>
    </row>
    <row r="8" spans="1:25">
      <c r="A8" s="25" t="s">
        <v>391</v>
      </c>
      <c r="B8" s="25"/>
      <c r="C8" s="25"/>
      <c r="D8" s="25"/>
      <c r="E8" s="25"/>
      <c r="G8" s="20" t="s">
        <v>392</v>
      </c>
      <c r="H8" s="20" t="s">
        <v>393</v>
      </c>
      <c r="I8" s="20" t="s">
        <v>381</v>
      </c>
      <c r="J8" s="20" t="s">
        <v>394</v>
      </c>
      <c r="K8" s="20" t="s">
        <v>395</v>
      </c>
      <c r="L8" s="20" t="s">
        <v>396</v>
      </c>
      <c r="M8" s="18" t="str">
        <f t="shared" si="0"/>
        <v>NIELSON</v>
      </c>
      <c r="N8" s="18" t="str">
        <f t="shared" si="1"/>
        <v>wayne </v>
      </c>
      <c r="O8" s="18" t="str">
        <f t="shared" si="2"/>
        <v>Wayne </v>
      </c>
      <c r="P8" s="18" t="str">
        <f t="shared" si="3"/>
        <v>WAYNE NIELSON</v>
      </c>
      <c r="Q8" s="18" t="str">
        <f t="shared" si="4"/>
        <v>WA</v>
      </c>
      <c r="R8" s="18" t="str">
        <f t="shared" si="5"/>
        <v>ON</v>
      </c>
      <c r="S8" s="18" t="str">
        <f t="shared" si="6"/>
        <v>YNE</v>
      </c>
      <c r="T8" s="18">
        <f t="shared" si="7"/>
        <v>6</v>
      </c>
      <c r="U8" s="18" t="e">
        <f t="shared" si="8"/>
        <v>#VALUE!</v>
      </c>
      <c r="V8" s="18" t="e">
        <f t="shared" si="9"/>
        <v>#VALUE!</v>
      </c>
      <c r="W8" s="18"/>
      <c r="X8" s="18" t="str">
        <f t="shared" si="10"/>
        <v>WAYNE</v>
      </c>
      <c r="Y8" s="18" t="str">
        <f t="shared" si="11"/>
        <v>WayneMNielson@gmail.com</v>
      </c>
    </row>
    <row r="9" spans="1:25">
      <c r="A9" s="25" t="s">
        <v>397</v>
      </c>
      <c r="B9" s="25"/>
      <c r="C9" s="25"/>
      <c r="D9" s="25"/>
      <c r="E9" s="25"/>
      <c r="G9" s="20" t="s">
        <v>398</v>
      </c>
      <c r="H9" s="20" t="s">
        <v>399</v>
      </c>
      <c r="I9" s="20" t="s">
        <v>381</v>
      </c>
      <c r="J9" s="20" t="s">
        <v>400</v>
      </c>
      <c r="K9" s="20" t="s">
        <v>401</v>
      </c>
      <c r="L9" s="20" t="s">
        <v>402</v>
      </c>
      <c r="M9" s="18" t="str">
        <f t="shared" si="0"/>
        <v>DEPAUL </v>
      </c>
      <c r="N9" s="18" t="str">
        <f t="shared" si="1"/>
        <v>john</v>
      </c>
      <c r="O9" s="18" t="str">
        <f t="shared" si="2"/>
        <v>John</v>
      </c>
      <c r="P9" s="18" t="str">
        <f t="shared" si="3"/>
        <v>JOHNDEPAUL </v>
      </c>
      <c r="Q9" s="18" t="str">
        <f t="shared" si="4"/>
        <v>JO</v>
      </c>
      <c r="R9" s="18" t="str">
        <f t="shared" si="5"/>
        <v>L </v>
      </c>
      <c r="S9" s="18" t="str">
        <f t="shared" si="6"/>
        <v>HN</v>
      </c>
      <c r="T9" s="18">
        <f t="shared" si="7"/>
        <v>4</v>
      </c>
      <c r="U9" s="18">
        <f t="shared" si="8"/>
        <v>1</v>
      </c>
      <c r="V9" s="18">
        <f t="shared" si="9"/>
        <v>1</v>
      </c>
      <c r="W9" s="18"/>
      <c r="X9" s="18" t="str">
        <f t="shared" si="10"/>
        <v>JOHN</v>
      </c>
      <c r="Y9" s="18" t="str">
        <f t="shared" si="11"/>
        <v>JohnDDepaul@gmail.com</v>
      </c>
    </row>
    <row r="10" spans="1:25">
      <c r="A10" s="25" t="s">
        <v>403</v>
      </c>
      <c r="B10" s="25"/>
      <c r="C10" s="25"/>
      <c r="D10" s="25"/>
      <c r="E10" s="25"/>
      <c r="G10" s="20" t="s">
        <v>404</v>
      </c>
      <c r="H10" s="20" t="s">
        <v>405</v>
      </c>
      <c r="I10" s="20" t="s">
        <v>381</v>
      </c>
      <c r="J10" s="20" t="s">
        <v>406</v>
      </c>
      <c r="K10" s="20" t="s">
        <v>407</v>
      </c>
      <c r="L10" s="20" t="s">
        <v>408</v>
      </c>
      <c r="M10" s="18" t="str">
        <f t="shared" si="0"/>
        <v>MARTINEZ</v>
      </c>
      <c r="N10" s="18" t="str">
        <f t="shared" si="1"/>
        <v>joseph</v>
      </c>
      <c r="O10" s="18" t="str">
        <f t="shared" si="2"/>
        <v>Joseph</v>
      </c>
      <c r="P10" s="18" t="str">
        <f t="shared" si="3"/>
        <v>JOSEPHMARTINEZ</v>
      </c>
      <c r="Q10" s="18" t="str">
        <f t="shared" si="4"/>
        <v>JO</v>
      </c>
      <c r="R10" s="18" t="str">
        <f t="shared" si="5"/>
        <v>EZ</v>
      </c>
      <c r="S10" s="18" t="str">
        <f t="shared" si="6"/>
        <v>SEP</v>
      </c>
      <c r="T10" s="18">
        <f t="shared" si="7"/>
        <v>6</v>
      </c>
      <c r="U10" s="18">
        <f t="shared" si="8"/>
        <v>1</v>
      </c>
      <c r="V10" s="18">
        <f t="shared" si="9"/>
        <v>1</v>
      </c>
      <c r="W10" s="18"/>
      <c r="X10" s="18" t="str">
        <f t="shared" si="10"/>
        <v>JOSEPH</v>
      </c>
      <c r="Y10" s="18" t="str">
        <f t="shared" si="11"/>
        <v>JosephJMartinez@gmail.com</v>
      </c>
    </row>
    <row r="11" spans="1:25">
      <c r="A11" s="25" t="s">
        <v>409</v>
      </c>
      <c r="B11" s="25"/>
      <c r="C11" s="25"/>
      <c r="D11" s="25"/>
      <c r="E11" s="25"/>
      <c r="G11" s="20" t="s">
        <v>410</v>
      </c>
      <c r="H11" s="20" t="s">
        <v>411</v>
      </c>
      <c r="I11" s="20" t="s">
        <v>374</v>
      </c>
      <c r="J11" s="20" t="s">
        <v>412</v>
      </c>
      <c r="K11" s="20" t="s">
        <v>413</v>
      </c>
      <c r="L11" s="20" t="s">
        <v>414</v>
      </c>
      <c r="M11" s="18" t="str">
        <f t="shared" si="0"/>
        <v>HENRY </v>
      </c>
      <c r="N11" s="18" t="str">
        <f t="shared" si="1"/>
        <v>diane</v>
      </c>
      <c r="O11" s="18" t="str">
        <f t="shared" si="2"/>
        <v>Diane</v>
      </c>
      <c r="P11" s="18" t="str">
        <f t="shared" si="3"/>
        <v>DIANEHENRY </v>
      </c>
      <c r="Q11" s="18" t="str">
        <f t="shared" si="4"/>
        <v>DI</v>
      </c>
      <c r="R11" s="18" t="str">
        <f t="shared" si="5"/>
        <v>Y </v>
      </c>
      <c r="S11" s="18" t="str">
        <f t="shared" si="6"/>
        <v>ANE</v>
      </c>
      <c r="T11" s="18">
        <f t="shared" si="7"/>
        <v>5</v>
      </c>
      <c r="U11" s="18" t="e">
        <f t="shared" si="8"/>
        <v>#VALUE!</v>
      </c>
      <c r="V11" s="18" t="e">
        <f t="shared" si="9"/>
        <v>#VALUE!</v>
      </c>
      <c r="W11" s="18"/>
      <c r="X11" s="18" t="str">
        <f t="shared" si="10"/>
        <v>DIANE</v>
      </c>
      <c r="Y11" s="18" t="str">
        <f t="shared" si="11"/>
        <v>DianeKHenry@gmail.com</v>
      </c>
    </row>
    <row r="12" spans="1:25">
      <c r="A12" s="25" t="s">
        <v>415</v>
      </c>
      <c r="B12" s="25"/>
      <c r="C12" s="25"/>
      <c r="D12" s="25"/>
      <c r="E12" s="25"/>
      <c r="G12" s="20" t="s">
        <v>416</v>
      </c>
      <c r="H12" s="20" t="s">
        <v>417</v>
      </c>
      <c r="I12" s="20" t="s">
        <v>374</v>
      </c>
      <c r="J12" s="20" t="s">
        <v>418</v>
      </c>
      <c r="K12" s="20" t="s">
        <v>419</v>
      </c>
      <c r="L12" s="20" t="s">
        <v>420</v>
      </c>
      <c r="M12" s="18" t="str">
        <f t="shared" si="0"/>
        <v>COMERFORD</v>
      </c>
      <c r="N12" s="18" t="str">
        <f t="shared" si="1"/>
        <v>veronica</v>
      </c>
      <c r="O12" s="18" t="str">
        <f t="shared" si="2"/>
        <v>Veronica</v>
      </c>
      <c r="P12" s="18" t="str">
        <f t="shared" si="3"/>
        <v>VERONICACOMERFORD</v>
      </c>
      <c r="Q12" s="18" t="str">
        <f t="shared" si="4"/>
        <v>VE</v>
      </c>
      <c r="R12" s="18" t="str">
        <f t="shared" si="5"/>
        <v>RD</v>
      </c>
      <c r="S12" s="18" t="str">
        <f t="shared" si="6"/>
        <v>RON</v>
      </c>
      <c r="T12" s="18">
        <f t="shared" si="7"/>
        <v>8</v>
      </c>
      <c r="U12" s="18" t="e">
        <f t="shared" si="8"/>
        <v>#VALUE!</v>
      </c>
      <c r="V12" s="18" t="e">
        <f t="shared" si="9"/>
        <v>#VALUE!</v>
      </c>
      <c r="W12" s="18"/>
      <c r="X12" s="18" t="str">
        <f t="shared" si="10"/>
        <v>VERONICA</v>
      </c>
      <c r="Y12" s="18" t="str">
        <f t="shared" si="11"/>
        <v>VeronicaMComerford@gmail.com</v>
      </c>
    </row>
    <row r="13" spans="1:25">
      <c r="A13" s="25" t="s">
        <v>421</v>
      </c>
      <c r="B13" s="25"/>
      <c r="C13" s="25"/>
      <c r="D13" s="25"/>
      <c r="E13" s="25"/>
      <c r="G13" s="20" t="s">
        <v>422</v>
      </c>
      <c r="H13" s="20" t="s">
        <v>423</v>
      </c>
      <c r="I13" s="20" t="s">
        <v>374</v>
      </c>
      <c r="J13" s="20" t="s">
        <v>424</v>
      </c>
      <c r="K13" s="20" t="s">
        <v>425</v>
      </c>
      <c r="L13" s="20" t="s">
        <v>426</v>
      </c>
      <c r="M13" s="18" t="str">
        <f t="shared" si="0"/>
        <v>NIXON</v>
      </c>
      <c r="N13" s="18" t="str">
        <f t="shared" si="1"/>
        <v>beverly</v>
      </c>
      <c r="O13" s="18" t="str">
        <f t="shared" si="2"/>
        <v>Beverly</v>
      </c>
      <c r="P13" s="18" t="str">
        <f t="shared" si="3"/>
        <v>BEVERLYNIXON</v>
      </c>
      <c r="Q13" s="18" t="str">
        <f t="shared" si="4"/>
        <v>BE</v>
      </c>
      <c r="R13" s="18" t="str">
        <f t="shared" si="5"/>
        <v>ON</v>
      </c>
      <c r="S13" s="18" t="str">
        <f t="shared" si="6"/>
        <v>VER</v>
      </c>
      <c r="T13" s="18">
        <f t="shared" si="7"/>
        <v>7</v>
      </c>
      <c r="U13" s="18" t="e">
        <f t="shared" si="8"/>
        <v>#VALUE!</v>
      </c>
      <c r="V13" s="18" t="e">
        <f t="shared" si="9"/>
        <v>#VALUE!</v>
      </c>
      <c r="W13" s="18"/>
      <c r="X13" s="18" t="str">
        <f t="shared" si="10"/>
        <v>BEVERLY</v>
      </c>
      <c r="Y13" s="18" t="str">
        <f t="shared" si="11"/>
        <v>BeverlyDNixon@gmail.com</v>
      </c>
    </row>
    <row r="14" spans="1:25">
      <c r="A14" s="25" t="s">
        <v>427</v>
      </c>
      <c r="B14" s="25"/>
      <c r="C14" s="25"/>
      <c r="D14" s="25"/>
      <c r="E14" s="25"/>
      <c r="G14" s="20" t="s">
        <v>428</v>
      </c>
      <c r="H14" s="20" t="s">
        <v>429</v>
      </c>
      <c r="I14" s="20" t="s">
        <v>381</v>
      </c>
      <c r="J14" s="20" t="s">
        <v>430</v>
      </c>
      <c r="K14" s="20" t="s">
        <v>431</v>
      </c>
      <c r="L14" s="20" t="s">
        <v>432</v>
      </c>
      <c r="M14" s="18" t="str">
        <f t="shared" si="0"/>
        <v>LAYTON</v>
      </c>
      <c r="N14" s="18" t="str">
        <f t="shared" si="1"/>
        <v>ivan</v>
      </c>
      <c r="O14" s="18" t="str">
        <f t="shared" si="2"/>
        <v>Ivan</v>
      </c>
      <c r="P14" s="18" t="str">
        <f t="shared" si="3"/>
        <v>IVANLAYTON</v>
      </c>
      <c r="Q14" s="18" t="str">
        <f t="shared" si="4"/>
        <v>IV</v>
      </c>
      <c r="R14" s="18" t="str">
        <f t="shared" si="5"/>
        <v>ON</v>
      </c>
      <c r="S14" s="18" t="str">
        <f t="shared" si="6"/>
        <v>AN</v>
      </c>
      <c r="T14" s="18">
        <f t="shared" si="7"/>
        <v>4</v>
      </c>
      <c r="U14" s="18" t="e">
        <f t="shared" si="8"/>
        <v>#VALUE!</v>
      </c>
      <c r="V14" s="18" t="e">
        <f t="shared" si="9"/>
        <v>#VALUE!</v>
      </c>
      <c r="W14" s="18"/>
      <c r="X14" s="18" t="str">
        <f t="shared" si="10"/>
        <v>IVAN</v>
      </c>
      <c r="Y14" s="18" t="str">
        <f t="shared" si="11"/>
        <v>IvanSLayton@gmail.com</v>
      </c>
    </row>
    <row r="15" spans="1:25">
      <c r="A15" s="28" t="s">
        <v>433</v>
      </c>
      <c r="B15" s="29"/>
      <c r="C15" s="29"/>
      <c r="D15" s="29"/>
      <c r="E15" s="30"/>
      <c r="G15" s="20" t="s">
        <v>434</v>
      </c>
      <c r="H15" s="20" t="s">
        <v>435</v>
      </c>
      <c r="I15" s="20" t="s">
        <v>374</v>
      </c>
      <c r="J15" s="20" t="s">
        <v>436</v>
      </c>
      <c r="K15" s="20" t="s">
        <v>437</v>
      </c>
      <c r="L15" s="20" t="s">
        <v>438</v>
      </c>
      <c r="M15" s="18" t="str">
        <f t="shared" si="0"/>
        <v>FORD</v>
      </c>
      <c r="N15" s="18" t="str">
        <f t="shared" si="1"/>
        <v>shannon</v>
      </c>
      <c r="O15" s="18" t="str">
        <f t="shared" si="2"/>
        <v>Shannon</v>
      </c>
      <c r="P15" s="18" t="str">
        <f t="shared" si="3"/>
        <v>SHANNONFORD</v>
      </c>
      <c r="Q15" s="18" t="str">
        <f t="shared" si="4"/>
        <v>SH</v>
      </c>
      <c r="R15" s="18" t="str">
        <f t="shared" si="5"/>
        <v>RD</v>
      </c>
      <c r="S15" s="18" t="str">
        <f t="shared" si="6"/>
        <v>ANN</v>
      </c>
      <c r="T15" s="18">
        <f t="shared" si="7"/>
        <v>7</v>
      </c>
      <c r="U15" s="18" t="e">
        <f t="shared" si="8"/>
        <v>#VALUE!</v>
      </c>
      <c r="V15" s="18" t="e">
        <f t="shared" si="9"/>
        <v>#VALUE!</v>
      </c>
      <c r="W15" s="18"/>
      <c r="X15" s="18" t="str">
        <f t="shared" si="10"/>
        <v>SHANNON</v>
      </c>
      <c r="Y15" s="18" t="str">
        <f t="shared" si="11"/>
        <v>ShannonHFord@gmail.com</v>
      </c>
    </row>
    <row r="16" spans="1:25">
      <c r="A16" s="28" t="s">
        <v>439</v>
      </c>
      <c r="B16" s="29"/>
      <c r="C16" s="29"/>
      <c r="D16" s="29"/>
      <c r="E16" s="30"/>
      <c r="G16" s="20" t="s">
        <v>440</v>
      </c>
      <c r="H16" s="20" t="s">
        <v>441</v>
      </c>
      <c r="I16" s="20" t="s">
        <v>374</v>
      </c>
      <c r="J16" s="20" t="s">
        <v>442</v>
      </c>
      <c r="K16" s="20" t="s">
        <v>443</v>
      </c>
      <c r="L16" s="20" t="s">
        <v>444</v>
      </c>
      <c r="M16" s="18" t="str">
        <f t="shared" si="0"/>
        <v>PONCE</v>
      </c>
      <c r="N16" s="18" t="str">
        <f t="shared" si="1"/>
        <v>debra</v>
      </c>
      <c r="O16" s="18" t="str">
        <f t="shared" si="2"/>
        <v>Debra</v>
      </c>
      <c r="P16" s="18" t="str">
        <f t="shared" si="3"/>
        <v>DEBRAPONCE</v>
      </c>
      <c r="Q16" s="18" t="str">
        <f t="shared" si="4"/>
        <v>DE</v>
      </c>
      <c r="R16" s="18" t="str">
        <f t="shared" si="5"/>
        <v>CE</v>
      </c>
      <c r="S16" s="18" t="str">
        <f t="shared" si="6"/>
        <v>BRA</v>
      </c>
      <c r="T16" s="18">
        <f t="shared" si="7"/>
        <v>5</v>
      </c>
      <c r="U16" s="18" t="e">
        <f t="shared" si="8"/>
        <v>#VALUE!</v>
      </c>
      <c r="V16" s="18" t="e">
        <f t="shared" si="9"/>
        <v>#VALUE!</v>
      </c>
      <c r="W16" s="18"/>
      <c r="X16" s="18" t="str">
        <f t="shared" si="10"/>
        <v>DEBRA</v>
      </c>
      <c r="Y16" s="18" t="str">
        <f t="shared" si="11"/>
        <v>DebraFPonce@gmail.com</v>
      </c>
    </row>
    <row r="17" spans="7:25">
      <c r="G17" s="20" t="s">
        <v>445</v>
      </c>
      <c r="H17" s="20" t="s">
        <v>446</v>
      </c>
      <c r="I17" s="20" t="s">
        <v>374</v>
      </c>
      <c r="J17" s="20" t="s">
        <v>447</v>
      </c>
      <c r="K17" s="20" t="s">
        <v>448</v>
      </c>
      <c r="L17" s="20" t="s">
        <v>449</v>
      </c>
      <c r="M17" s="18" t="str">
        <f t="shared" si="0"/>
        <v>BRYNER</v>
      </c>
      <c r="N17" s="18" t="str">
        <f t="shared" si="1"/>
        <v>margaret</v>
      </c>
      <c r="O17" s="18" t="str">
        <f t="shared" si="2"/>
        <v>Margaret</v>
      </c>
      <c r="P17" s="18" t="str">
        <f t="shared" si="3"/>
        <v>MARGARETBRYNER</v>
      </c>
      <c r="Q17" s="18" t="str">
        <f t="shared" si="4"/>
        <v>MA</v>
      </c>
      <c r="R17" s="18" t="str">
        <f t="shared" si="5"/>
        <v>ER</v>
      </c>
      <c r="S17" s="18" t="str">
        <f t="shared" si="6"/>
        <v>RGA</v>
      </c>
      <c r="T17" s="18">
        <f t="shared" si="7"/>
        <v>8</v>
      </c>
      <c r="U17" s="18" t="e">
        <f t="shared" si="8"/>
        <v>#VALUE!</v>
      </c>
      <c r="V17" s="18" t="e">
        <f t="shared" si="9"/>
        <v>#VALUE!</v>
      </c>
      <c r="W17" s="18"/>
      <c r="X17" s="18" t="str">
        <f t="shared" si="10"/>
        <v>MARGARET</v>
      </c>
      <c r="Y17" s="18" t="str">
        <f t="shared" si="11"/>
        <v>MargaretRBryner@gmail.com</v>
      </c>
    </row>
    <row r="18" spans="7:25">
      <c r="G18" s="20" t="s">
        <v>450</v>
      </c>
      <c r="H18" s="20" t="s">
        <v>451</v>
      </c>
      <c r="I18" s="20" t="s">
        <v>374</v>
      </c>
      <c r="J18" s="20" t="s">
        <v>452</v>
      </c>
      <c r="K18" s="20" t="s">
        <v>453</v>
      </c>
      <c r="L18" s="20" t="s">
        <v>454</v>
      </c>
      <c r="M18" s="18" t="str">
        <f t="shared" si="0"/>
        <v>SMITH</v>
      </c>
      <c r="N18" s="18" t="str">
        <f t="shared" si="1"/>
        <v>barbara</v>
      </c>
      <c r="O18" s="18" t="str">
        <f t="shared" si="2"/>
        <v>Barbara</v>
      </c>
      <c r="P18" s="18" t="str">
        <f t="shared" si="3"/>
        <v>BARBARASMITH</v>
      </c>
      <c r="Q18" s="18" t="str">
        <f t="shared" si="4"/>
        <v>BA</v>
      </c>
      <c r="R18" s="18" t="str">
        <f t="shared" si="5"/>
        <v>TH</v>
      </c>
      <c r="S18" s="18" t="str">
        <f t="shared" si="6"/>
        <v>RBA</v>
      </c>
      <c r="T18" s="18">
        <f t="shared" si="7"/>
        <v>7</v>
      </c>
      <c r="U18" s="18" t="e">
        <f t="shared" si="8"/>
        <v>#VALUE!</v>
      </c>
      <c r="V18" s="18" t="e">
        <f t="shared" si="9"/>
        <v>#VALUE!</v>
      </c>
      <c r="W18" s="18"/>
      <c r="X18" s="18" t="str">
        <f t="shared" si="10"/>
        <v>BARBARA</v>
      </c>
      <c r="Y18" s="18" t="str">
        <f t="shared" si="11"/>
        <v>BarbaraESmith@hotmail.com</v>
      </c>
    </row>
  </sheetData>
  <mergeCells count="13"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:Y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D11"/>
    </sheetView>
  </sheetViews>
  <sheetFormatPr defaultColWidth="9" defaultRowHeight="15" outlineLevelCol="2"/>
  <cols>
    <col min="1" max="1" width="16.2857142857143" customWidth="1"/>
    <col min="2" max="2" width="15.8571428571429" customWidth="1"/>
  </cols>
  <sheetData>
    <row r="1" spans="1:1">
      <c r="A1" s="19" t="s">
        <v>96</v>
      </c>
    </row>
    <row r="2" spans="1:1">
      <c r="A2" s="20">
        <v>1</v>
      </c>
    </row>
    <row r="3" spans="1:1">
      <c r="A3" s="20">
        <v>2</v>
      </c>
    </row>
    <row r="4" spans="1:3">
      <c r="A4" s="20">
        <v>3</v>
      </c>
      <c r="B4" s="23" t="s">
        <v>99</v>
      </c>
      <c r="C4" s="20">
        <f>SUM(A2:A11)</f>
        <v>55</v>
      </c>
    </row>
    <row r="5" spans="1:3">
      <c r="A5" s="20">
        <v>4</v>
      </c>
      <c r="B5" s="23" t="s">
        <v>22</v>
      </c>
      <c r="C5" s="20">
        <f>AVERAGE(A2:A11)</f>
        <v>5.5</v>
      </c>
    </row>
    <row r="6" spans="1:3">
      <c r="A6" s="20">
        <v>5</v>
      </c>
      <c r="B6" s="23" t="s">
        <v>24</v>
      </c>
      <c r="C6" s="20">
        <f>MIN(A2:A11)</f>
        <v>1</v>
      </c>
    </row>
    <row r="7" spans="1:3">
      <c r="A7" s="20">
        <v>6</v>
      </c>
      <c r="B7" s="23" t="s">
        <v>23</v>
      </c>
      <c r="C7" s="20">
        <f>MAX(A2:A11)</f>
        <v>10</v>
      </c>
    </row>
    <row r="8" spans="1:3">
      <c r="A8" s="20">
        <v>7</v>
      </c>
      <c r="B8" s="23" t="s">
        <v>100</v>
      </c>
      <c r="C8" s="20">
        <f>SMALL(A2:A11,3)</f>
        <v>3</v>
      </c>
    </row>
    <row r="9" spans="1:3">
      <c r="A9" s="20">
        <v>8</v>
      </c>
      <c r="B9" s="23" t="s">
        <v>101</v>
      </c>
      <c r="C9" s="20">
        <f>LARGE(A2:A11,4)</f>
        <v>7</v>
      </c>
    </row>
    <row r="10" spans="1:1">
      <c r="A10" s="20">
        <v>9</v>
      </c>
    </row>
    <row r="11" spans="1:1">
      <c r="A11" s="20">
        <v>10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G15" sqref="G15"/>
    </sheetView>
  </sheetViews>
  <sheetFormatPr defaultColWidth="9" defaultRowHeight="15" outlineLevelCol="2"/>
  <cols>
    <col min="1" max="1" width="16.2857142857143" customWidth="1"/>
    <col min="2" max="2" width="15.8571428571429" customWidth="1"/>
  </cols>
  <sheetData>
    <row r="1" spans="1:1">
      <c r="A1" s="19" t="s">
        <v>96</v>
      </c>
    </row>
    <row r="2" spans="1:1">
      <c r="A2" s="20">
        <v>10</v>
      </c>
    </row>
    <row r="3" spans="1:1">
      <c r="A3" s="20">
        <v>20</v>
      </c>
    </row>
    <row r="4" spans="1:3">
      <c r="A4" s="21">
        <v>30</v>
      </c>
      <c r="B4" s="22" t="s">
        <v>99</v>
      </c>
      <c r="C4" s="20">
        <f>SUM(A2:A11)</f>
        <v>550</v>
      </c>
    </row>
    <row r="5" spans="1:3">
      <c r="A5" s="21">
        <v>40</v>
      </c>
      <c r="B5" s="22" t="s">
        <v>22</v>
      </c>
      <c r="C5" s="20">
        <f>AVERAGE(A2:A11)</f>
        <v>55</v>
      </c>
    </row>
    <row r="6" spans="1:3">
      <c r="A6" s="21">
        <v>50</v>
      </c>
      <c r="B6" s="22" t="s">
        <v>24</v>
      </c>
      <c r="C6" s="20">
        <f>MIN(A2:A11)</f>
        <v>10</v>
      </c>
    </row>
    <row r="7" spans="1:3">
      <c r="A7" s="21">
        <v>60</v>
      </c>
      <c r="B7" s="22" t="s">
        <v>23</v>
      </c>
      <c r="C7" s="20">
        <f>MAX(A2:A11)</f>
        <v>100</v>
      </c>
    </row>
    <row r="8" spans="1:3">
      <c r="A8" s="21">
        <v>70</v>
      </c>
      <c r="B8" s="22" t="s">
        <v>100</v>
      </c>
      <c r="C8" s="20">
        <f>SMALL(A2:A11,3)</f>
        <v>30</v>
      </c>
    </row>
    <row r="9" spans="1:3">
      <c r="A9" s="21">
        <v>80</v>
      </c>
      <c r="B9" s="22" t="s">
        <v>101</v>
      </c>
      <c r="C9" s="20">
        <f>LARGE(A2:A11,4)</f>
        <v>70</v>
      </c>
    </row>
    <row r="10" spans="1:1">
      <c r="A10" s="20">
        <v>90</v>
      </c>
    </row>
    <row r="11" spans="1:1">
      <c r="A11" s="20">
        <v>100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4" sqref="B14"/>
    </sheetView>
  </sheetViews>
  <sheetFormatPr defaultColWidth="9" defaultRowHeight="15" outlineLevelCol="2"/>
  <cols>
    <col min="1" max="1" width="16.2857142857143" customWidth="1"/>
    <col min="2" max="2" width="15.8571428571429" customWidth="1"/>
  </cols>
  <sheetData>
    <row r="1" spans="1:1">
      <c r="A1" s="19" t="s">
        <v>96</v>
      </c>
    </row>
    <row r="2" spans="1:1">
      <c r="A2" s="20">
        <v>34</v>
      </c>
    </row>
    <row r="3" spans="1:1">
      <c r="A3" s="20">
        <v>87</v>
      </c>
    </row>
    <row r="4" spans="1:3">
      <c r="A4" s="21">
        <v>43</v>
      </c>
      <c r="B4" s="22" t="s">
        <v>99</v>
      </c>
      <c r="C4" s="20">
        <f>SUM(A2:A11)</f>
        <v>777</v>
      </c>
    </row>
    <row r="5" spans="1:3">
      <c r="A5" s="21">
        <v>309</v>
      </c>
      <c r="B5" s="22" t="s">
        <v>22</v>
      </c>
      <c r="C5" s="20">
        <f>AVERAGE(A2:A11)</f>
        <v>86.3333333333333</v>
      </c>
    </row>
    <row r="6" spans="1:3">
      <c r="A6" s="21">
        <v>32</v>
      </c>
      <c r="B6" s="22" t="s">
        <v>24</v>
      </c>
      <c r="C6" s="20">
        <f>MIN(A2:A11)</f>
        <v>32</v>
      </c>
    </row>
    <row r="7" spans="1:3">
      <c r="A7" s="21">
        <v>56</v>
      </c>
      <c r="B7" s="22" t="s">
        <v>23</v>
      </c>
      <c r="C7" s="20">
        <f>MAX(A2:A11)</f>
        <v>309</v>
      </c>
    </row>
    <row r="8" spans="1:3">
      <c r="A8" s="21">
        <v>67</v>
      </c>
      <c r="B8" s="22" t="s">
        <v>100</v>
      </c>
      <c r="C8" s="20">
        <f>SMALL(A2:A11,3)</f>
        <v>43</v>
      </c>
    </row>
    <row r="9" spans="1:3">
      <c r="A9" s="21">
        <v>62</v>
      </c>
      <c r="B9" s="22" t="s">
        <v>101</v>
      </c>
      <c r="C9" s="20">
        <f>LARGE(A2:A11,4)</f>
        <v>67</v>
      </c>
    </row>
    <row r="10" spans="1:1">
      <c r="A10" s="20">
        <v>87</v>
      </c>
    </row>
    <row r="11" spans="1:1">
      <c r="A11" s="20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D3" sqref="D3"/>
    </sheetView>
  </sheetViews>
  <sheetFormatPr defaultColWidth="9" defaultRowHeight="15"/>
  <cols>
    <col min="4" max="4" width="25.4285714285714" customWidth="1"/>
    <col min="5" max="5" width="23.7142857142857" customWidth="1"/>
    <col min="6" max="6" width="18.8571428571429" customWidth="1"/>
    <col min="7" max="7" width="22.1428571428571" customWidth="1"/>
    <col min="10" max="10" width="28.4285714285714" customWidth="1"/>
  </cols>
  <sheetData>
    <row r="1" spans="1:7">
      <c r="A1" s="1" t="s">
        <v>455</v>
      </c>
      <c r="B1" s="2"/>
      <c r="C1" s="2"/>
      <c r="D1" s="2"/>
      <c r="E1" s="2"/>
      <c r="F1" s="2"/>
      <c r="G1" s="3"/>
    </row>
    <row r="2" spans="1:7">
      <c r="A2" s="4" t="s">
        <v>456</v>
      </c>
      <c r="B2" s="5" t="s">
        <v>268</v>
      </c>
      <c r="C2" s="5" t="s">
        <v>457</v>
      </c>
      <c r="D2" s="5" t="s">
        <v>458</v>
      </c>
      <c r="E2" s="6" t="s">
        <v>459</v>
      </c>
      <c r="F2" s="6" t="s">
        <v>460</v>
      </c>
      <c r="G2" s="7" t="s">
        <v>461</v>
      </c>
    </row>
    <row r="3" spans="1:7">
      <c r="A3" s="8">
        <v>1</v>
      </c>
      <c r="B3" s="9">
        <v>38627</v>
      </c>
      <c r="C3" s="10" t="s">
        <v>462</v>
      </c>
      <c r="D3" s="11"/>
      <c r="E3" s="11" t="s">
        <v>463</v>
      </c>
      <c r="F3" s="11">
        <v>100</v>
      </c>
      <c r="G3" s="12">
        <v>100</v>
      </c>
    </row>
    <row r="4" spans="1:7">
      <c r="A4" s="8">
        <v>2</v>
      </c>
      <c r="B4" s="9">
        <v>38630</v>
      </c>
      <c r="C4" s="10" t="s">
        <v>464</v>
      </c>
      <c r="D4" s="11"/>
      <c r="E4" s="11" t="s">
        <v>465</v>
      </c>
      <c r="F4" s="11">
        <v>150</v>
      </c>
      <c r="G4" s="12">
        <v>25</v>
      </c>
    </row>
    <row r="5" spans="1:7">
      <c r="A5" s="8">
        <v>1</v>
      </c>
      <c r="B5" s="9">
        <v>38636</v>
      </c>
      <c r="C5" s="10" t="s">
        <v>466</v>
      </c>
      <c r="D5" s="11"/>
      <c r="E5" s="11" t="s">
        <v>467</v>
      </c>
      <c r="F5" s="11">
        <v>250</v>
      </c>
      <c r="G5" s="12">
        <v>0</v>
      </c>
    </row>
    <row r="6" spans="1:7">
      <c r="A6" s="8">
        <v>3</v>
      </c>
      <c r="B6" s="9">
        <v>38637</v>
      </c>
      <c r="C6" s="10" t="s">
        <v>462</v>
      </c>
      <c r="D6" s="11"/>
      <c r="E6" s="11" t="s">
        <v>468</v>
      </c>
      <c r="F6" s="11">
        <v>275</v>
      </c>
      <c r="G6" s="12">
        <v>275</v>
      </c>
    </row>
    <row r="7" spans="1:7">
      <c r="A7" s="8">
        <v>2</v>
      </c>
      <c r="B7" s="9">
        <v>38642</v>
      </c>
      <c r="C7" s="10" t="s">
        <v>462</v>
      </c>
      <c r="D7" s="11"/>
      <c r="E7" s="11" t="s">
        <v>469</v>
      </c>
      <c r="F7" s="11">
        <v>100</v>
      </c>
      <c r="G7" s="12">
        <v>100</v>
      </c>
    </row>
    <row r="8" spans="1:10">
      <c r="A8" s="8">
        <v>1</v>
      </c>
      <c r="B8" s="9">
        <v>38644</v>
      </c>
      <c r="C8" s="10" t="s">
        <v>466</v>
      </c>
      <c r="D8" s="11"/>
      <c r="E8" s="11" t="s">
        <v>470</v>
      </c>
      <c r="F8" s="11">
        <v>220</v>
      </c>
      <c r="G8" s="12">
        <v>100</v>
      </c>
      <c r="I8" s="18" t="s">
        <v>462</v>
      </c>
      <c r="J8" s="18" t="s">
        <v>471</v>
      </c>
    </row>
    <row r="9" spans="1:10">
      <c r="A9" s="8">
        <v>2</v>
      </c>
      <c r="B9" s="9">
        <v>38650</v>
      </c>
      <c r="C9" s="10" t="s">
        <v>464</v>
      </c>
      <c r="D9" s="11"/>
      <c r="E9" s="11" t="s">
        <v>472</v>
      </c>
      <c r="F9" s="11">
        <v>85</v>
      </c>
      <c r="G9" s="12">
        <v>50</v>
      </c>
      <c r="I9" s="18" t="s">
        <v>464</v>
      </c>
      <c r="J9" s="18" t="s">
        <v>473</v>
      </c>
    </row>
    <row r="10" spans="1:10">
      <c r="A10" s="8">
        <v>3</v>
      </c>
      <c r="B10" s="9">
        <v>38651</v>
      </c>
      <c r="C10" s="10" t="s">
        <v>466</v>
      </c>
      <c r="D10" s="11"/>
      <c r="E10" s="11" t="s">
        <v>474</v>
      </c>
      <c r="F10" s="11">
        <v>43</v>
      </c>
      <c r="G10" s="12">
        <v>43</v>
      </c>
      <c r="I10" s="18" t="s">
        <v>466</v>
      </c>
      <c r="J10" s="18" t="s">
        <v>475</v>
      </c>
    </row>
    <row r="11" spans="1:7">
      <c r="A11" s="8">
        <v>3</v>
      </c>
      <c r="B11" s="9">
        <v>38655</v>
      </c>
      <c r="C11" s="10" t="s">
        <v>466</v>
      </c>
      <c r="D11" s="11"/>
      <c r="E11" s="11" t="s">
        <v>476</v>
      </c>
      <c r="F11" s="11">
        <v>175</v>
      </c>
      <c r="G11" s="12">
        <v>175</v>
      </c>
    </row>
    <row r="12" spans="1:7">
      <c r="A12" s="8">
        <v>1</v>
      </c>
      <c r="B12" s="9">
        <v>38659</v>
      </c>
      <c r="C12" s="10" t="s">
        <v>462</v>
      </c>
      <c r="D12" s="11"/>
      <c r="E12" s="11" t="s">
        <v>463</v>
      </c>
      <c r="F12" s="11">
        <v>100</v>
      </c>
      <c r="G12" s="12">
        <v>100</v>
      </c>
    </row>
    <row r="13" spans="1:7">
      <c r="A13" s="8">
        <v>2</v>
      </c>
      <c r="B13" s="9">
        <v>38660</v>
      </c>
      <c r="C13" s="10" t="s">
        <v>462</v>
      </c>
      <c r="D13" s="11"/>
      <c r="E13" s="11" t="s">
        <v>477</v>
      </c>
      <c r="F13" s="11">
        <v>75</v>
      </c>
      <c r="G13" s="12">
        <v>50</v>
      </c>
    </row>
    <row r="14" spans="1:7">
      <c r="A14" s="8">
        <v>1</v>
      </c>
      <c r="B14" s="9">
        <v>38667</v>
      </c>
      <c r="C14" s="10" t="s">
        <v>466</v>
      </c>
      <c r="D14" s="11"/>
      <c r="E14" s="11" t="s">
        <v>467</v>
      </c>
      <c r="F14" s="11">
        <v>250</v>
      </c>
      <c r="G14" s="12">
        <v>250</v>
      </c>
    </row>
    <row r="15" spans="1:7">
      <c r="A15" s="8">
        <v>3</v>
      </c>
      <c r="B15" s="9">
        <v>38668</v>
      </c>
      <c r="C15" s="10" t="s">
        <v>462</v>
      </c>
      <c r="D15" s="11"/>
      <c r="E15" s="11" t="s">
        <v>468</v>
      </c>
      <c r="F15" s="11">
        <v>275</v>
      </c>
      <c r="G15" s="12">
        <v>275</v>
      </c>
    </row>
    <row r="16" spans="1:7">
      <c r="A16" s="8">
        <v>2</v>
      </c>
      <c r="B16" s="9">
        <v>38673</v>
      </c>
      <c r="C16" s="10" t="s">
        <v>462</v>
      </c>
      <c r="D16" s="11"/>
      <c r="E16" s="11" t="s">
        <v>469</v>
      </c>
      <c r="F16" s="11">
        <v>100</v>
      </c>
      <c r="G16" s="12">
        <v>100</v>
      </c>
    </row>
    <row r="17" spans="1:7">
      <c r="A17" s="8">
        <v>1</v>
      </c>
      <c r="B17" s="9">
        <v>38675</v>
      </c>
      <c r="C17" s="10" t="s">
        <v>466</v>
      </c>
      <c r="D17" s="11"/>
      <c r="E17" s="11" t="s">
        <v>470</v>
      </c>
      <c r="F17" s="11">
        <v>220</v>
      </c>
      <c r="G17" s="12">
        <v>100</v>
      </c>
    </row>
    <row r="18" spans="1:7">
      <c r="A18" s="8">
        <v>3</v>
      </c>
      <c r="B18" s="9">
        <v>38682</v>
      </c>
      <c r="C18" s="10" t="s">
        <v>466</v>
      </c>
      <c r="D18" s="11"/>
      <c r="E18" s="11" t="s">
        <v>474</v>
      </c>
      <c r="F18" s="11">
        <v>43</v>
      </c>
      <c r="G18" s="12">
        <v>43</v>
      </c>
    </row>
    <row r="19" spans="1:7">
      <c r="A19" s="8">
        <v>3</v>
      </c>
      <c r="B19" s="9">
        <v>38686</v>
      </c>
      <c r="C19" s="10" t="s">
        <v>466</v>
      </c>
      <c r="D19" s="11"/>
      <c r="E19" s="11" t="s">
        <v>476</v>
      </c>
      <c r="F19" s="11">
        <v>175</v>
      </c>
      <c r="G19" s="12">
        <v>175</v>
      </c>
    </row>
    <row r="20" spans="1:7">
      <c r="A20" s="8">
        <v>2</v>
      </c>
      <c r="B20" s="9">
        <v>38691</v>
      </c>
      <c r="C20" s="10" t="s">
        <v>464</v>
      </c>
      <c r="D20" s="11"/>
      <c r="E20" s="11" t="s">
        <v>478</v>
      </c>
      <c r="F20" s="11">
        <v>500</v>
      </c>
      <c r="G20" s="12">
        <v>250</v>
      </c>
    </row>
    <row r="21" spans="1:7">
      <c r="A21" s="8">
        <v>2</v>
      </c>
      <c r="B21" s="9">
        <v>38693</v>
      </c>
      <c r="C21" s="10" t="s">
        <v>464</v>
      </c>
      <c r="D21" s="11"/>
      <c r="E21" s="11" t="s">
        <v>479</v>
      </c>
      <c r="F21" s="11">
        <v>150</v>
      </c>
      <c r="G21" s="12">
        <v>150</v>
      </c>
    </row>
    <row r="22" spans="1:7">
      <c r="A22" s="8">
        <v>1</v>
      </c>
      <c r="B22" s="9">
        <v>38697</v>
      </c>
      <c r="C22" s="10" t="s">
        <v>466</v>
      </c>
      <c r="D22" s="11"/>
      <c r="E22" s="11" t="s">
        <v>467</v>
      </c>
      <c r="F22" s="11">
        <v>250</v>
      </c>
      <c r="G22" s="12">
        <v>50</v>
      </c>
    </row>
    <row r="23" spans="1:7">
      <c r="A23" s="8">
        <v>3</v>
      </c>
      <c r="B23" s="9">
        <v>38698</v>
      </c>
      <c r="C23" s="10" t="s">
        <v>462</v>
      </c>
      <c r="D23" s="11"/>
      <c r="E23" s="11" t="s">
        <v>468</v>
      </c>
      <c r="F23" s="11">
        <v>275</v>
      </c>
      <c r="G23" s="12">
        <v>275</v>
      </c>
    </row>
    <row r="24" spans="1:7">
      <c r="A24" s="8">
        <v>2</v>
      </c>
      <c r="B24" s="9">
        <v>38703</v>
      </c>
      <c r="C24" s="10" t="s">
        <v>462</v>
      </c>
      <c r="D24" s="11"/>
      <c r="E24" s="11" t="s">
        <v>469</v>
      </c>
      <c r="F24" s="11">
        <v>100</v>
      </c>
      <c r="G24" s="12">
        <v>100</v>
      </c>
    </row>
    <row r="25" spans="1:7">
      <c r="A25" s="8">
        <v>1</v>
      </c>
      <c r="B25" s="9">
        <v>38705</v>
      </c>
      <c r="C25" s="10" t="s">
        <v>466</v>
      </c>
      <c r="D25" s="11"/>
      <c r="E25" s="11" t="s">
        <v>470</v>
      </c>
      <c r="F25" s="11">
        <v>220</v>
      </c>
      <c r="G25" s="12">
        <v>100</v>
      </c>
    </row>
    <row r="26" spans="1:7">
      <c r="A26" s="8">
        <v>3</v>
      </c>
      <c r="B26" s="9">
        <v>38712</v>
      </c>
      <c r="C26" s="10" t="s">
        <v>466</v>
      </c>
      <c r="D26" s="11"/>
      <c r="E26" s="11" t="s">
        <v>474</v>
      </c>
      <c r="F26" s="11">
        <v>43</v>
      </c>
      <c r="G26" s="12">
        <v>43</v>
      </c>
    </row>
    <row r="27" spans="1:7">
      <c r="A27" s="13">
        <v>3</v>
      </c>
      <c r="B27" s="14">
        <v>38716</v>
      </c>
      <c r="C27" s="15" t="s">
        <v>466</v>
      </c>
      <c r="D27" s="16"/>
      <c r="E27" s="16" t="s">
        <v>476</v>
      </c>
      <c r="F27" s="16">
        <v>175</v>
      </c>
      <c r="G27" s="17">
        <v>175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MKCL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INTRODUCTION</vt:lpstr>
      <vt:lpstr>Basic Function</vt:lpstr>
      <vt:lpstr>Fill Series</vt:lpstr>
      <vt:lpstr>Flash Fill</vt:lpstr>
      <vt:lpstr>Name Range and Cell Range</vt:lpstr>
      <vt:lpstr>Cell Refernce</vt:lpstr>
      <vt:lpstr>If &amp; Nested If</vt:lpstr>
      <vt:lpstr>Logical Function </vt:lpstr>
      <vt:lpstr>Count &amp; Sum Function </vt:lpstr>
      <vt:lpstr>Lookup</vt:lpstr>
      <vt:lpstr>Data Validation </vt:lpstr>
      <vt:lpstr>Filter - Panes</vt:lpstr>
      <vt:lpstr>Text Function </vt:lpstr>
      <vt:lpstr>Macros1 </vt:lpstr>
      <vt:lpstr>Macros2</vt:lpstr>
      <vt:lpstr>Macro3</vt:lpstr>
      <vt:lpstr>Example1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Muskan Ansari</cp:lastModifiedBy>
  <dcterms:created xsi:type="dcterms:W3CDTF">2026-02-14T09:38:00Z</dcterms:created>
  <dcterms:modified xsi:type="dcterms:W3CDTF">2026-06-12T09:37:54Z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58A0766E8FBE447BAAE6BF063DA8A809_12</vt:lpwstr>
  </property>
  <property fmtid="{D5CDD505-2E9C-101B-9397-08002B2CF9AE}" pid="3" name="KSOProductBuildVer">
    <vt:lpwstr>1033-12.2.0.13215</vt:lpwstr>
  </property>
</Properties>
</file>