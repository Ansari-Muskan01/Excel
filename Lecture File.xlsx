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27DADEA-D417-4079-9308-70D7B86330B1}" xr6:coauthVersionLast="47" xr6:coauthVersionMax="47" xr10:uidLastSave="{00000000-0000-0000-0000-000000000000}"/>
  <bookViews>
    <workbookView xWindow="-120" yWindow="-120" windowWidth="20730" windowHeight="11160" firstSheet="2" activeTab="5" xr2:uid="{3C6A0B15-1C54-43A0-80DD-36969291A431}"/>
  </bookViews>
  <sheets>
    <sheet name="Lecture1" sheetId="1" r:id="rId1"/>
    <sheet name="Lectue2" sheetId="2" r:id="rId2"/>
    <sheet name="Mumbai Branch" sheetId="3" r:id="rId3"/>
    <sheet name="Delhi Branch" sheetId="4" r:id="rId4"/>
    <sheet name="Pune Branch" sheetId="5" r:id="rId5"/>
    <sheet name="Summary Sheet (After Consolida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0" i="1" l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E119" i="1"/>
  <c r="F119" i="1"/>
  <c r="G119" i="1"/>
  <c r="H119" i="1"/>
  <c r="D119" i="1"/>
  <c r="H110" i="1"/>
  <c r="E110" i="1"/>
  <c r="F110" i="1"/>
  <c r="G110" i="1"/>
  <c r="F111" i="1"/>
  <c r="G111" i="1"/>
  <c r="H111" i="1"/>
  <c r="F112" i="1"/>
  <c r="G112" i="1"/>
  <c r="H112" i="1"/>
  <c r="E112" i="1"/>
  <c r="E111" i="1"/>
  <c r="G83" i="1"/>
  <c r="G84" i="1"/>
  <c r="G85" i="1"/>
  <c r="G86" i="1"/>
  <c r="G78" i="1"/>
  <c r="G79" i="1"/>
  <c r="G80" i="1"/>
  <c r="G81" i="1"/>
  <c r="G82" i="1"/>
  <c r="G77" i="1"/>
  <c r="H60" i="1"/>
  <c r="H61" i="1"/>
  <c r="H62" i="1"/>
  <c r="H63" i="1"/>
  <c r="H64" i="1"/>
  <c r="H65" i="1"/>
  <c r="H66" i="1"/>
  <c r="H67" i="1"/>
  <c r="H68" i="1"/>
  <c r="H59" i="1"/>
  <c r="P36" i="1"/>
  <c r="N33" i="1"/>
  <c r="N38" i="1"/>
  <c r="N34" i="1"/>
  <c r="N35" i="1"/>
  <c r="N36" i="1"/>
  <c r="N37" i="1"/>
  <c r="D34" i="1"/>
  <c r="G22" i="1"/>
  <c r="G15" i="1"/>
  <c r="G7" i="1"/>
  <c r="G8" i="1"/>
  <c r="G9" i="1"/>
  <c r="G10" i="1"/>
  <c r="G11" i="1"/>
  <c r="G12" i="1"/>
  <c r="G13" i="1"/>
  <c r="G14" i="1"/>
  <c r="G6" i="1"/>
  <c r="G21" i="1" l="1"/>
  <c r="G20" i="1"/>
  <c r="G19" i="1"/>
  <c r="G18" i="1"/>
</calcChain>
</file>

<file path=xl/sharedStrings.xml><?xml version="1.0" encoding="utf-8"?>
<sst xmlns="http://schemas.openxmlformats.org/spreadsheetml/2006/main" count="353" uniqueCount="196">
  <si>
    <t>Topic 1: Exploring Excel Formulas and Functions</t>
  </si>
  <si>
    <t>Product</t>
  </si>
  <si>
    <t>Qty</t>
  </si>
  <si>
    <t>Price</t>
  </si>
  <si>
    <t>Laptop</t>
  </si>
  <si>
    <t>Mouse</t>
  </si>
  <si>
    <t>Keyboard</t>
  </si>
  <si>
    <t>Monitor</t>
  </si>
  <si>
    <t>Topic 2: Tracing Precedents and Dependents</t>
  </si>
  <si>
    <t>What is Cell Reference?</t>
  </si>
  <si>
    <t>A Cell Reference is the address of a cell that Excel uses in a formula to perform calculations.</t>
  </si>
  <si>
    <t>Types of Cell References</t>
  </si>
  <si>
    <t>Excel provides three types of references:</t>
  </si>
  <si>
    <t>Relative Reference</t>
  </si>
  <si>
    <t>Absolute Reference</t>
  </si>
  <si>
    <t>Mixed Reference</t>
  </si>
  <si>
    <t>Relative Reference : A Relative Reference changes automatically when a formula is copied to another cell.</t>
  </si>
  <si>
    <t>Order ID</t>
  </si>
  <si>
    <t>Quantity</t>
  </si>
  <si>
    <t>Unit Price</t>
  </si>
  <si>
    <t>Total Sales</t>
  </si>
  <si>
    <t>ORD001</t>
  </si>
  <si>
    <t>ORD002</t>
  </si>
  <si>
    <t>ORD003</t>
  </si>
  <si>
    <t>ORD004</t>
  </si>
  <si>
    <t>ORD005</t>
  </si>
  <si>
    <t>Printer</t>
  </si>
  <si>
    <t>ORD006</t>
  </si>
  <si>
    <t>Webcam</t>
  </si>
  <si>
    <t>ORD007</t>
  </si>
  <si>
    <t>Speaker</t>
  </si>
  <si>
    <t>ORD008</t>
  </si>
  <si>
    <t>SSD</t>
  </si>
  <si>
    <t>ORD009</t>
  </si>
  <si>
    <t>RAM</t>
  </si>
  <si>
    <t>ORD010</t>
  </si>
  <si>
    <t>UPS</t>
  </si>
  <si>
    <r>
      <t>TechZone Electronics</t>
    </r>
    <r>
      <rPr>
        <sz val="11"/>
        <color theme="1"/>
        <rFont val="Aptos Narrow"/>
        <family val="2"/>
        <scheme val="minor"/>
      </rPr>
      <t xml:space="preserve"> has shared today's product sales data. The Sales Manager needs a quick sales summary before presenting the report to the management team.</t>
    </r>
  </si>
  <si>
    <t>Price (₹)</t>
  </si>
  <si>
    <t>Total Sales (₹)</t>
  </si>
  <si>
    <t>Pendrive</t>
  </si>
  <si>
    <t>Headphones</t>
  </si>
  <si>
    <t>Find the Highest Sales Amount.</t>
  </si>
  <si>
    <t>Find the Lowest Sales Amount.</t>
  </si>
  <si>
    <t>Count the Total Number of Sales Records.</t>
  </si>
  <si>
    <t>Calculate the Total Quantity Sold.</t>
  </si>
  <si>
    <t>Calculate the Total Sales for each product. (HINT : Formula (Qty × Price))</t>
  </si>
  <si>
    <t>Calculate the Grand Total of Sales</t>
  </si>
  <si>
    <r>
      <t>Tracing Precedents:</t>
    </r>
    <r>
      <rPr>
        <sz val="11"/>
        <color theme="1"/>
        <rFont val="Aptos Narrow"/>
        <family val="2"/>
        <scheme val="minor"/>
      </rPr>
      <t xml:space="preserve"> Shows the cells that provide data to the selected formula.</t>
    </r>
  </si>
  <si>
    <r>
      <t>Tracing Dependents:</t>
    </r>
    <r>
      <rPr>
        <sz val="11"/>
        <color theme="1"/>
        <rFont val="Aptos Narrow"/>
        <family val="2"/>
        <scheme val="minor"/>
      </rPr>
      <t xml:space="preserve"> Shows the cells that use the value of the selected cell.</t>
    </r>
  </si>
  <si>
    <t>Formula</t>
  </si>
  <si>
    <t>Discount Rate</t>
  </si>
  <si>
    <t>Discount Amount</t>
  </si>
  <si>
    <t>TechZone Electronics is offering a flat 10% discount on all products. Calculate the Discount Amount for each product using the discount rate provided.</t>
  </si>
  <si>
    <t xml:space="preserve">Absolute Reference : An Absolute Reference is a cell reference that always refers to the same cell, even when a formula is copied to another cell. </t>
  </si>
  <si>
    <t>It is represented using the $ symbol before both the column letter and the row number (e.g., $F$2).</t>
  </si>
  <si>
    <r>
      <t>Hint:</t>
    </r>
    <r>
      <rPr>
        <sz val="11"/>
        <color theme="1"/>
        <rFont val="Aptos Narrow"/>
        <family val="2"/>
        <scheme val="minor"/>
      </rPr>
      <t xml:space="preserve"> Formula = </t>
    </r>
    <r>
      <rPr>
        <b/>
        <sz val="11"/>
        <color theme="1"/>
        <rFont val="Aptos Narrow"/>
        <family val="2"/>
        <scheme val="minor"/>
      </rPr>
      <t>Total Sales × Discount Rate</t>
    </r>
  </si>
  <si>
    <r>
      <t>$A1</t>
    </r>
    <r>
      <rPr>
        <sz val="11"/>
        <color theme="1"/>
        <rFont val="Aptos Narrow"/>
        <family val="2"/>
        <scheme val="minor"/>
      </rPr>
      <t xml:space="preserve"> → Column is fixed, Row changes.</t>
    </r>
  </si>
  <si>
    <r>
      <t>A$1</t>
    </r>
    <r>
      <rPr>
        <sz val="11"/>
        <color theme="1"/>
        <rFont val="Aptos Narrow"/>
        <family val="2"/>
        <scheme val="minor"/>
      </rPr>
      <t xml:space="preserve"> → Row is fixed, Column changes.</t>
    </r>
  </si>
  <si>
    <t>Salesperson</t>
  </si>
  <si>
    <t>Rahul</t>
  </si>
  <si>
    <t>Priya</t>
  </si>
  <si>
    <t>Aman</t>
  </si>
  <si>
    <t>Rate</t>
  </si>
  <si>
    <t>Sales Data</t>
  </si>
  <si>
    <t>Commission Rate</t>
  </si>
  <si>
    <r>
      <t>B2</t>
    </r>
    <r>
      <rPr>
        <sz val="11"/>
        <color theme="1"/>
        <rFont val="Aptos Narrow"/>
        <family val="2"/>
        <scheme val="minor"/>
      </rPr>
      <t xml:space="preserve"> → Relative Reference (changes when copied)</t>
    </r>
  </si>
  <si>
    <r>
      <t>B$6</t>
    </r>
    <r>
      <rPr>
        <sz val="11"/>
        <color theme="1"/>
        <rFont val="Aptos Narrow"/>
        <family val="2"/>
        <scheme val="minor"/>
      </rPr>
      <t xml:space="preserve"> → Mixed Reference (row 6 is fixed, column changes)</t>
    </r>
  </si>
  <si>
    <t>Hint: Formula = Sales Amount × Commission Rate</t>
  </si>
  <si>
    <t>Task : Calculate the commission amount for each salesperson based on the product-wise commission rate.</t>
  </si>
  <si>
    <t xml:space="preserve">Total </t>
  </si>
  <si>
    <t>S.N.</t>
  </si>
  <si>
    <t>Qun.</t>
  </si>
  <si>
    <t>Total Amount</t>
  </si>
  <si>
    <t>GST</t>
  </si>
  <si>
    <t>Grand Total</t>
  </si>
  <si>
    <t>Adidas</t>
  </si>
  <si>
    <t>Nike</t>
  </si>
  <si>
    <t>Reebok</t>
  </si>
  <si>
    <t>Bata</t>
  </si>
  <si>
    <t>Puma</t>
  </si>
  <si>
    <t>Total Pay Amount</t>
  </si>
  <si>
    <t>Mixed Reference : A Mixed Reference is a type of cell reference in Excel where either the row or the column is fixed.and the remaining part changes automatically when we copy the formula.</t>
  </si>
  <si>
    <r>
      <t xml:space="preserve">The </t>
    </r>
    <r>
      <rPr>
        <b/>
        <sz val="11"/>
        <color theme="1"/>
        <rFont val="Aptos Narrow"/>
        <family val="2"/>
        <scheme val="minor"/>
      </rPr>
      <t>column remains fixed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</si>
  <si>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row changes</t>
    </r>
    <r>
      <rPr>
        <sz val="11"/>
        <color theme="1"/>
        <rFont val="Aptos Narrow"/>
        <family val="2"/>
        <scheme val="minor"/>
      </rPr>
      <t xml:space="preserve"> when the formula is copied.</t>
    </r>
  </si>
  <si>
    <r>
      <t>$A</t>
    </r>
    <r>
      <rPr>
        <sz val="11"/>
        <color theme="1"/>
        <rFont val="Aptos Narrow"/>
        <family val="2"/>
        <scheme val="minor"/>
      </rPr>
      <t xml:space="preserve"> → Column A is fixed</t>
    </r>
  </si>
  <si>
    <r>
      <t>1</t>
    </r>
    <r>
      <rPr>
        <sz val="11"/>
        <color theme="1"/>
        <rFont val="Aptos Narrow"/>
        <family val="2"/>
        <scheme val="minor"/>
      </rPr>
      <t xml:space="preserve"> → Row number can change</t>
    </r>
  </si>
  <si>
    <t>Named Range</t>
  </si>
  <si>
    <t>What is a Cell Range?</t>
  </si>
  <si>
    <t>Examples:</t>
  </si>
  <si>
    <r>
      <t>A1:A10</t>
    </r>
    <r>
      <rPr>
        <sz val="11"/>
        <color theme="1"/>
        <rFont val="Aptos Narrow"/>
        <family val="2"/>
        <scheme val="minor"/>
      </rPr>
      <t xml:space="preserve"> → Cells from A1 to A10</t>
    </r>
  </si>
  <si>
    <r>
      <t>B2:D6</t>
    </r>
    <r>
      <rPr>
        <sz val="11"/>
        <color theme="1"/>
        <rFont val="Aptos Narrow"/>
        <family val="2"/>
        <scheme val="minor"/>
      </rPr>
      <t xml:space="preserve"> → Cells from B2 to D6</t>
    </r>
  </si>
  <si>
    <r>
      <t>E5:G5</t>
    </r>
    <r>
      <rPr>
        <sz val="11"/>
        <color theme="1"/>
        <rFont val="Aptos Narrow"/>
        <family val="2"/>
        <scheme val="minor"/>
      </rPr>
      <t xml:space="preserve"> → Cells from E5 to G5</t>
    </r>
  </si>
  <si>
    <r>
      <t>A1:A10</t>
    </r>
    <r>
      <rPr>
        <sz val="11"/>
        <color theme="1"/>
        <rFont val="Aptos Narrow"/>
        <family val="2"/>
        <scheme val="minor"/>
      </rPr>
      <t xml:space="preserve"> means all the cells starting from </t>
    </r>
    <r>
      <rPr>
        <b/>
        <sz val="11"/>
        <color theme="1"/>
        <rFont val="Aptos Narrow"/>
        <family val="2"/>
        <scheme val="minor"/>
      </rPr>
      <t>A1</t>
    </r>
    <r>
      <rPr>
        <sz val="11"/>
        <color theme="1"/>
        <rFont val="Aptos Narrow"/>
        <family val="2"/>
        <scheme val="minor"/>
      </rPr>
      <t xml:space="preserve"> and ending at </t>
    </r>
    <r>
      <rPr>
        <b/>
        <sz val="11"/>
        <color theme="1"/>
        <rFont val="Aptos Narrow"/>
        <family val="2"/>
        <scheme val="minor"/>
      </rPr>
      <t>A10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</si>
  <si>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colon (</t>
    </r>
    <r>
      <rPr>
        <b/>
        <sz val="10"/>
        <color theme="1"/>
        <rFont val="Arial Unicode MS"/>
        <family val="2"/>
      </rPr>
      <t>: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indicates that all the cells between the first and last cell are included in the range.</t>
    </r>
  </si>
  <si>
    <r>
      <rPr>
        <b/>
        <sz val="12"/>
        <color theme="1"/>
        <rFont val="Aptos Narrow"/>
        <family val="2"/>
        <scheme val="minor"/>
      </rPr>
      <t>Defination :</t>
    </r>
    <r>
      <rPr>
        <sz val="11"/>
        <color theme="1"/>
        <rFont val="Aptos Narrow"/>
        <family val="2"/>
        <scheme val="minor"/>
      </rPr>
      <t xml:space="preserve"> A </t>
    </r>
    <r>
      <rPr>
        <b/>
        <sz val="11"/>
        <color theme="1"/>
        <rFont val="Aptos Narrow"/>
        <family val="2"/>
        <scheme val="minor"/>
      </rPr>
      <t>cell range</t>
    </r>
    <r>
      <rPr>
        <sz val="11"/>
        <color theme="1"/>
        <rFont val="Aptos Narrow"/>
        <family val="2"/>
        <scheme val="minor"/>
      </rPr>
      <t xml:space="preserve"> is a group of two or more cells selected together. A range is identified by the address of the first cell and the last cell, separated by a colon (</t>
    </r>
    <r>
      <rPr>
        <sz val="10"/>
        <color theme="1"/>
        <rFont val="Arial Unicode MS"/>
        <family val="2"/>
      </rPr>
      <t>:</t>
    </r>
    <r>
      <rPr>
        <sz val="11"/>
        <color theme="1"/>
        <rFont val="Aptos Narrow"/>
        <family val="2"/>
        <scheme val="minor"/>
      </rPr>
      <t>).</t>
    </r>
  </si>
  <si>
    <t>Product ID</t>
  </si>
  <si>
    <t>Product Name</t>
  </si>
  <si>
    <t>Category</t>
  </si>
  <si>
    <t>Sales (₹)</t>
  </si>
  <si>
    <t>P101</t>
  </si>
  <si>
    <t>Electronics</t>
  </si>
  <si>
    <t>P102</t>
  </si>
  <si>
    <t>Accessories</t>
  </si>
  <si>
    <t>P103</t>
  </si>
  <si>
    <t>P104</t>
  </si>
  <si>
    <t>P105</t>
  </si>
  <si>
    <t>P106</t>
  </si>
  <si>
    <t>P107</t>
  </si>
  <si>
    <t>P108</t>
  </si>
  <si>
    <t>P109</t>
  </si>
  <si>
    <t>Router</t>
  </si>
  <si>
    <t>Networking</t>
  </si>
  <si>
    <t>P110</t>
  </si>
  <si>
    <t>Storage</t>
  </si>
  <si>
    <t>Calculate the total sales generated by all products.</t>
  </si>
  <si>
    <t>Find the total quantity of products sold.</t>
  </si>
  <si>
    <t>Find the highest product price.</t>
  </si>
  <si>
    <t>Find the lowest product price.</t>
  </si>
  <si>
    <t>Calculate the average sales of all products.</t>
  </si>
  <si>
    <t>Calculate the average price of all products.</t>
  </si>
  <si>
    <t>Count how many products are available in the dataset.</t>
  </si>
  <si>
    <t>Calculate the total value of all product prices.</t>
  </si>
  <si>
    <t>Practice Questions</t>
  </si>
  <si>
    <t>Cell Range</t>
  </si>
  <si>
    <t>Name Range</t>
  </si>
  <si>
    <r>
      <rPr>
        <b/>
        <sz val="11"/>
        <color theme="1"/>
        <rFont val="Aptos Narrow"/>
        <family val="2"/>
        <scheme val="minor"/>
      </rPr>
      <t>Definition</t>
    </r>
    <r>
      <rPr>
        <sz val="11"/>
        <color theme="1"/>
        <rFont val="Aptos Narrow"/>
        <family val="2"/>
        <scheme val="minor"/>
      </rPr>
      <t>: A Named Range is a custom name assigned to a cell or a group of cells (range) in Excel. It makes formulas easier to read, understand, and manage.</t>
    </r>
  </si>
  <si>
    <t>Data Consolidation</t>
  </si>
  <si>
    <t>What is Data Consolidation?</t>
  </si>
  <si>
    <t>It helps us create one report without manually copying and adding data.</t>
  </si>
  <si>
    <t>Definition: Data Consolidation is the process of combining data from multiple worksheets or multiple ranges into a single summary table.</t>
  </si>
  <si>
    <t>Mumbai</t>
  </si>
  <si>
    <t>Delhi</t>
  </si>
  <si>
    <t>Pune</t>
  </si>
  <si>
    <t>Insert a Table &amp; Style Options</t>
  </si>
  <si>
    <t>What is an Excel Table?</t>
  </si>
  <si>
    <t>Definition: An Excel Table is a structured range of data that automatically adds features like sorting, filtering, formatting, and automatic expansion when new data is added.</t>
  </si>
  <si>
    <t>It helps us organize and analyze data more efficiently.</t>
  </si>
  <si>
    <t>Why Do We Use an Excel Table?</t>
  </si>
  <si>
    <t>Organizes data in a structured format.</t>
  </si>
  <si>
    <t>Automatically adds filter buttons.</t>
  </si>
  <si>
    <t>Applies professional formatting.</t>
  </si>
  <si>
    <t>Expands automatically when new rows or columns are added.</t>
  </si>
  <si>
    <t>Makes formulas easier to use.</t>
  </si>
  <si>
    <t>Order Date</t>
  </si>
  <si>
    <t>Region</t>
  </si>
  <si>
    <t>O101</t>
  </si>
  <si>
    <t>O102</t>
  </si>
  <si>
    <t>O103</t>
  </si>
  <si>
    <t>O104</t>
  </si>
  <si>
    <t>O105</t>
  </si>
  <si>
    <t>O106</t>
  </si>
  <si>
    <t>O107</t>
  </si>
  <si>
    <t>O108</t>
  </si>
  <si>
    <r>
      <t xml:space="preserve">This dataset contains the </t>
    </r>
    <r>
      <rPr>
        <b/>
        <sz val="11"/>
        <color theme="1"/>
        <rFont val="Aptos Narrow"/>
        <family val="2"/>
        <scheme val="minor"/>
      </rPr>
      <t>sales records of an electronics company</t>
    </r>
    <r>
      <rPr>
        <sz val="11"/>
        <color theme="1"/>
        <rFont val="Aptos Narrow"/>
        <family val="2"/>
        <scheme val="minor"/>
      </rPr>
      <t xml:space="preserve">. Each row represents </t>
    </r>
    <r>
      <rPr>
        <b/>
        <sz val="11"/>
        <color theme="1"/>
        <rFont val="Aptos Narrow"/>
        <family val="2"/>
        <scheme val="minor"/>
      </rPr>
      <t>one sales transaction</t>
    </r>
    <r>
      <rPr>
        <sz val="11"/>
        <color theme="1"/>
        <rFont val="Aptos Narrow"/>
        <family val="2"/>
        <scheme val="minor"/>
      </rPr>
      <t>, and each column provides specific information about that transaction.</t>
    </r>
  </si>
  <si>
    <t>Question</t>
  </si>
  <si>
    <t>Formula Hint</t>
  </si>
  <si>
    <t>Quantity × Price</t>
  </si>
  <si>
    <t>Revenue × Discount %</t>
  </si>
  <si>
    <r>
      <t xml:space="preserve">Calculate </t>
    </r>
    <r>
      <rPr>
        <b/>
        <sz val="11"/>
        <color theme="1"/>
        <rFont val="Aptos Narrow"/>
        <family val="2"/>
        <scheme val="minor"/>
      </rPr>
      <t>Net Revenue (₹)</t>
    </r>
    <r>
      <rPr>
        <sz val="11"/>
        <color theme="1"/>
        <rFont val="Aptos Narrow"/>
        <family val="2"/>
        <scheme val="minor"/>
      </rPr>
      <t xml:space="preserve"> for each product.</t>
    </r>
  </si>
  <si>
    <t>Revenue − Discount Amount</t>
  </si>
  <si>
    <t>Calculate Revenue (₹) for each product.</t>
  </si>
  <si>
    <r>
      <t xml:space="preserve">Calculate </t>
    </r>
    <r>
      <rPr>
        <b/>
        <sz val="11"/>
        <color theme="1"/>
        <rFont val="Aptos Narrow"/>
        <family val="2"/>
        <scheme val="minor"/>
      </rPr>
      <t>Discount Amount (₹)</t>
    </r>
    <r>
      <rPr>
        <sz val="11"/>
        <color theme="1"/>
        <rFont val="Aptos Narrow"/>
        <family val="2"/>
        <scheme val="minor"/>
      </rPr>
      <t xml:space="preserve"> for each product.</t>
    </r>
  </si>
  <si>
    <t xml:space="preserve"> </t>
  </si>
  <si>
    <t>Why do we use it?</t>
  </si>
  <si>
    <t>Combines data from different sheets.</t>
  </si>
  <si>
    <t>Saves time.</t>
  </si>
  <si>
    <t>Avoids manual copy-paste.</t>
  </si>
  <si>
    <t>Creates one summary report.</t>
  </si>
  <si>
    <t>Steps to Perform Data Consolidation</t>
  </si>
  <si>
    <t>1. Select the output cell.</t>
  </si>
  <si>
    <r>
      <t xml:space="preserve">2. Go to </t>
    </r>
    <r>
      <rPr>
        <b/>
        <sz val="11"/>
        <color theme="1"/>
        <rFont val="Aptos Narrow"/>
        <family val="2"/>
        <scheme val="minor"/>
      </rPr>
      <t>Data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Consolidate</t>
    </r>
    <r>
      <rPr>
        <sz val="11"/>
        <color theme="1"/>
        <rFont val="Aptos Narrow"/>
        <family val="2"/>
        <scheme val="minor"/>
      </rPr>
      <t>.</t>
    </r>
  </si>
  <si>
    <r>
      <t xml:space="preserve">3. Choose a </t>
    </r>
    <r>
      <rPr>
        <b/>
        <sz val="11"/>
        <color theme="1"/>
        <rFont val="Aptos Narrow"/>
        <family val="2"/>
        <scheme val="minor"/>
      </rPr>
      <t>Function</t>
    </r>
    <r>
      <rPr>
        <sz val="11"/>
        <color theme="1"/>
        <rFont val="Aptos Narrow"/>
        <family val="2"/>
        <scheme val="minor"/>
      </rPr>
      <t xml:space="preserve"> (e.g., Sum).</t>
    </r>
  </si>
  <si>
    <r>
      <t xml:space="preserve">4. Select the data range and click </t>
    </r>
    <r>
      <rPr>
        <b/>
        <sz val="11"/>
        <color theme="1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.</t>
    </r>
  </si>
  <si>
    <t>5. Repeat for all required ranges.</t>
  </si>
  <si>
    <r>
      <t xml:space="preserve">6. Select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Left Column</t>
    </r>
    <r>
      <rPr>
        <sz val="11"/>
        <color theme="1"/>
        <rFont val="Aptos Narrow"/>
        <family val="2"/>
        <scheme val="minor"/>
      </rPr>
      <t xml:space="preserve"> (if needed).</t>
    </r>
  </si>
  <si>
    <r>
      <t xml:space="preserve">7. Click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</si>
  <si>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Functions available in Consolidate</t>
    </r>
    <r>
      <rPr>
        <sz val="11"/>
        <color theme="1"/>
        <rFont val="Aptos Narrow"/>
        <family val="2"/>
        <scheme val="minor"/>
      </rPr>
      <t xml:space="preserve"> : Sum , Average , Count , Max , Min , Product , Standard Deviation , Variance</t>
    </r>
  </si>
  <si>
    <t>Scenario</t>
  </si>
  <si>
    <r>
      <t xml:space="preserve">ABC Electronics has three branches: </t>
    </r>
    <r>
      <rPr>
        <b/>
        <sz val="11"/>
        <color theme="1"/>
        <rFont val="Aptos Narrow"/>
        <family val="2"/>
        <scheme val="minor"/>
      </rPr>
      <t>Mumbai, Delhi, and Pune</t>
    </r>
    <r>
      <rPr>
        <sz val="11"/>
        <color theme="1"/>
        <rFont val="Aptos Narrow"/>
        <family val="2"/>
        <scheme val="minor"/>
      </rPr>
      <t>. Each branch records its monthly sales in a separate worksheet. The Sales Manager wants a single report that combines the data from all branches.</t>
    </r>
  </si>
  <si>
    <t>Task</t>
  </si>
  <si>
    <r>
      <t xml:space="preserve">Use the </t>
    </r>
    <r>
      <rPr>
        <b/>
        <sz val="11"/>
        <color theme="1"/>
        <rFont val="Aptos Narrow"/>
        <family val="2"/>
        <scheme val="minor"/>
      </rPr>
      <t>Data Consolidation</t>
    </r>
    <r>
      <rPr>
        <sz val="11"/>
        <color theme="1"/>
        <rFont val="Aptos Narrow"/>
        <family val="2"/>
        <scheme val="minor"/>
      </rPr>
      <t xml:space="preserve"> feature to:</t>
    </r>
  </si>
  <si>
    <r>
      <t xml:space="preserve">1. Create a new worksheet named </t>
    </r>
    <r>
      <rPr>
        <b/>
        <sz val="11"/>
        <color theme="1"/>
        <rFont val="Aptos Narrow"/>
        <family val="2"/>
        <scheme val="minor"/>
      </rPr>
      <t>Summary</t>
    </r>
    <r>
      <rPr>
        <sz val="11"/>
        <color theme="1"/>
        <rFont val="Aptos Narrow"/>
        <family val="2"/>
        <scheme val="minor"/>
      </rPr>
      <t>.</t>
    </r>
  </si>
  <si>
    <r>
      <t xml:space="preserve">2. Use the </t>
    </r>
    <r>
      <rPr>
        <b/>
        <sz val="11"/>
        <color theme="1"/>
        <rFont val="Aptos Narrow"/>
        <family val="2"/>
        <scheme val="minor"/>
      </rPr>
      <t>Sum</t>
    </r>
    <r>
      <rPr>
        <sz val="11"/>
        <color theme="1"/>
        <rFont val="Aptos Narrow"/>
        <family val="2"/>
        <scheme val="minor"/>
      </rPr>
      <t xml:space="preserve"> function.</t>
    </r>
  </si>
  <si>
    <t>3. Consolidate data from all three worksheets.</t>
  </si>
  <si>
    <r>
      <t xml:space="preserve">4. Include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Left Column</t>
    </r>
    <r>
      <rPr>
        <sz val="11"/>
        <color theme="1"/>
        <rFont val="Aptos Narrow"/>
        <family val="2"/>
        <scheme val="minor"/>
      </rPr>
      <t xml:space="preserve"> while consolidating.</t>
    </r>
  </si>
  <si>
    <r>
      <t xml:space="preserve">5. Generate the final summary report showing the total </t>
    </r>
    <r>
      <rPr>
        <b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for each product.</t>
    </r>
  </si>
  <si>
    <t>Profit (₹)</t>
  </si>
  <si>
    <t xml:space="preserve">Note : </t>
  </si>
  <si>
    <t>Excel's Consolidate feature works only with a continuous range of data. If your dataset contains unnecessary columns, remove them or create a separate table before using Consolidate</t>
  </si>
  <si>
    <t>Advantages of Named Range:</t>
  </si>
  <si>
    <r>
      <t>Easy to Read:</t>
    </r>
    <r>
      <rPr>
        <sz val="11"/>
        <color theme="1"/>
        <rFont val="Aptos Narrow"/>
        <family val="2"/>
        <scheme val="minor"/>
      </rPr>
      <t xml:space="preserve"> Makes formulas simple and understandable.</t>
    </r>
  </si>
  <si>
    <r>
      <t>Saves Time:</t>
    </r>
    <r>
      <rPr>
        <sz val="11"/>
        <color theme="1"/>
        <rFont val="Aptos Narrow"/>
        <family val="2"/>
        <scheme val="minor"/>
      </rPr>
      <t xml:space="preserve"> Avoids selecting the same range repeatedly.</t>
    </r>
  </si>
  <si>
    <r>
      <t>Reduces Errors:</t>
    </r>
    <r>
      <rPr>
        <sz val="11"/>
        <color theme="1"/>
        <rFont val="Aptos Narrow"/>
        <family val="2"/>
        <scheme val="minor"/>
      </rPr>
      <t xml:space="preserve"> Helps prevent incorrect cell range selection.</t>
    </r>
  </si>
  <si>
    <r>
      <t>Easy to Manage:</t>
    </r>
    <r>
      <rPr>
        <sz val="11"/>
        <color theme="1"/>
        <rFont val="Aptos Narrow"/>
        <family val="2"/>
        <scheme val="minor"/>
      </rPr>
      <t xml:space="preserve"> Useful for working with large datasets.</t>
    </r>
  </si>
  <si>
    <r>
      <t>Simplifies Formulas:</t>
    </r>
    <r>
      <rPr>
        <sz val="11"/>
        <color theme="1"/>
        <rFont val="Aptos Narrow"/>
        <family val="2"/>
        <scheme val="minor"/>
      </rPr>
      <t xml:space="preserve"> Allows the use of meaningful names instead of cell references.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</si>
</sst>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3.5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0" xfId="0" applyFont="1" applyFill="1"/>
    <xf numFmtId="0" fontId="3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9" fontId="0" fillId="0" borderId="1" xfId="0" applyNumberForma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horizont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0" fillId="2" borderId="0" xfId="0" applyFont="1" applyFill="1" applyAlignme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5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5" fontId="0" fillId="0" borderId="0" xfId="0" applyNumberForma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F0A1-4D8D-4982-A5BB-2365D64930A2}">
  <dimension ref="A1:P123"/>
  <sheetViews>
    <sheetView topLeftCell="A123" zoomScale="110" zoomScaleNormal="110" workbookViewId="0">
      <selection activeCell="B8" sqref="B8"/>
    </sheetView>
  </sheetViews>
  <sheetFormatPr defaultRowHeight="15" x14ac:dyDescent="0.25"/>
  <cols>
    <col min="3" max="3" width="22.28515625" customWidth="1"/>
    <col min="4" max="4" width="29.28515625" customWidth="1"/>
    <col min="5" max="5" width="14.5703125" customWidth="1"/>
    <col min="6" max="6" width="20.7109375" customWidth="1"/>
    <col min="7" max="7" width="22.7109375" customWidth="1"/>
    <col min="8" max="8" width="19" customWidth="1"/>
    <col min="12" max="12" width="43.5703125" customWidth="1"/>
    <col min="13" max="13" width="21.28515625" customWidth="1"/>
    <col min="14" max="14" width="19.7109375" customWidth="1"/>
  </cols>
  <sheetData>
    <row r="1" spans="1:8" ht="18.75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0" t="s">
        <v>37</v>
      </c>
      <c r="C3" s="2"/>
      <c r="D3" s="2"/>
      <c r="E3" s="2"/>
      <c r="F3" s="2"/>
    </row>
    <row r="4" spans="1:8" x14ac:dyDescent="0.25">
      <c r="C4" s="1"/>
      <c r="D4" s="1"/>
      <c r="E4" s="1"/>
      <c r="F4" s="1"/>
    </row>
    <row r="5" spans="1:8" ht="18.75" x14ac:dyDescent="0.25">
      <c r="C5" s="1"/>
      <c r="D5" s="11" t="s">
        <v>1</v>
      </c>
      <c r="E5" s="11" t="s">
        <v>2</v>
      </c>
      <c r="F5" s="11" t="s">
        <v>38</v>
      </c>
      <c r="G5" s="11" t="s">
        <v>39</v>
      </c>
    </row>
    <row r="6" spans="1:8" x14ac:dyDescent="0.25">
      <c r="C6" s="1"/>
      <c r="D6" s="9" t="s">
        <v>4</v>
      </c>
      <c r="E6" s="9">
        <v>1</v>
      </c>
      <c r="F6" s="9">
        <v>70000</v>
      </c>
      <c r="G6" s="9">
        <f>F6*E6</f>
        <v>70000</v>
      </c>
    </row>
    <row r="7" spans="1:8" x14ac:dyDescent="0.25">
      <c r="C7" s="1"/>
      <c r="D7" s="9" t="s">
        <v>5</v>
      </c>
      <c r="E7" s="9">
        <v>5</v>
      </c>
      <c r="F7" s="9">
        <v>600</v>
      </c>
      <c r="G7" s="9">
        <f t="shared" ref="G7:G15" si="0">F7*E7</f>
        <v>3000</v>
      </c>
    </row>
    <row r="8" spans="1:8" x14ac:dyDescent="0.25">
      <c r="C8" s="1"/>
      <c r="D8" s="9" t="s">
        <v>6</v>
      </c>
      <c r="E8" s="9">
        <v>3</v>
      </c>
      <c r="F8" s="9">
        <v>1200</v>
      </c>
      <c r="G8" s="9">
        <f t="shared" si="0"/>
        <v>3600</v>
      </c>
    </row>
    <row r="9" spans="1:8" x14ac:dyDescent="0.25">
      <c r="C9" s="1"/>
      <c r="D9" s="9" t="s">
        <v>7</v>
      </c>
      <c r="E9" s="9">
        <v>4</v>
      </c>
      <c r="F9" s="9">
        <v>15000</v>
      </c>
      <c r="G9" s="9">
        <f t="shared" si="0"/>
        <v>60000</v>
      </c>
    </row>
    <row r="10" spans="1:8" x14ac:dyDescent="0.25">
      <c r="C10" s="1"/>
      <c r="D10" s="9" t="s">
        <v>26</v>
      </c>
      <c r="E10" s="9">
        <v>2</v>
      </c>
      <c r="F10" s="9">
        <v>8500</v>
      </c>
      <c r="G10" s="9">
        <f t="shared" si="0"/>
        <v>17000</v>
      </c>
    </row>
    <row r="11" spans="1:8" x14ac:dyDescent="0.25">
      <c r="C11" s="1"/>
      <c r="D11" s="9" t="s">
        <v>40</v>
      </c>
      <c r="E11" s="9">
        <v>10</v>
      </c>
      <c r="F11" s="9">
        <v>700</v>
      </c>
      <c r="G11" s="9">
        <f t="shared" si="0"/>
        <v>7000</v>
      </c>
    </row>
    <row r="12" spans="1:8" x14ac:dyDescent="0.25">
      <c r="C12" s="1"/>
      <c r="D12" s="9" t="s">
        <v>28</v>
      </c>
      <c r="E12" s="9">
        <v>6</v>
      </c>
      <c r="F12" s="9">
        <v>2500</v>
      </c>
      <c r="G12" s="9">
        <f t="shared" si="0"/>
        <v>15000</v>
      </c>
    </row>
    <row r="13" spans="1:8" x14ac:dyDescent="0.25">
      <c r="C13" s="1"/>
      <c r="D13" s="9" t="s">
        <v>41</v>
      </c>
      <c r="E13" s="9">
        <v>8</v>
      </c>
      <c r="F13" s="9">
        <v>1800</v>
      </c>
      <c r="G13" s="9">
        <f t="shared" si="0"/>
        <v>14400</v>
      </c>
    </row>
    <row r="14" spans="1:8" x14ac:dyDescent="0.25">
      <c r="D14" s="9" t="s">
        <v>32</v>
      </c>
      <c r="E14" s="9">
        <v>5</v>
      </c>
      <c r="F14" s="9">
        <v>4200</v>
      </c>
      <c r="G14" s="9">
        <f t="shared" si="0"/>
        <v>21000</v>
      </c>
    </row>
    <row r="15" spans="1:8" x14ac:dyDescent="0.25">
      <c r="D15" s="9" t="s">
        <v>34</v>
      </c>
      <c r="E15" s="9">
        <v>7</v>
      </c>
      <c r="F15" s="9">
        <v>3500</v>
      </c>
      <c r="G15" s="9">
        <f t="shared" si="0"/>
        <v>24500</v>
      </c>
    </row>
    <row r="17" spans="1:14" x14ac:dyDescent="0.25">
      <c r="A17" s="10" t="s">
        <v>46</v>
      </c>
      <c r="G17" s="17" t="s">
        <v>50</v>
      </c>
    </row>
    <row r="18" spans="1:14" x14ac:dyDescent="0.25">
      <c r="A18" s="10" t="s">
        <v>47</v>
      </c>
      <c r="G18" s="15">
        <f>SUM(G6:G15)</f>
        <v>235500</v>
      </c>
    </row>
    <row r="19" spans="1:14" x14ac:dyDescent="0.25">
      <c r="A19" s="10" t="s">
        <v>42</v>
      </c>
      <c r="G19" s="15">
        <f>MAX(G6:G15)</f>
        <v>70000</v>
      </c>
    </row>
    <row r="20" spans="1:14" x14ac:dyDescent="0.25">
      <c r="A20" s="10" t="s">
        <v>43</v>
      </c>
      <c r="G20" s="15">
        <f>MIN(G6:G15)</f>
        <v>3000</v>
      </c>
    </row>
    <row r="21" spans="1:14" x14ac:dyDescent="0.25">
      <c r="A21" s="10" t="s">
        <v>44</v>
      </c>
      <c r="G21" s="15">
        <f>COUNT(G6:G15)</f>
        <v>10</v>
      </c>
    </row>
    <row r="22" spans="1:14" x14ac:dyDescent="0.25">
      <c r="A22" s="10" t="s">
        <v>45</v>
      </c>
      <c r="G22" s="15">
        <f>SUM(E6:E15)</f>
        <v>51</v>
      </c>
    </row>
    <row r="26" spans="1:14" ht="18.75" x14ac:dyDescent="0.3">
      <c r="A26" s="13" t="s">
        <v>8</v>
      </c>
      <c r="B26" s="13"/>
      <c r="C26" s="14"/>
      <c r="D26" s="14"/>
      <c r="E26" s="14"/>
      <c r="F26" s="14"/>
      <c r="G26" s="14"/>
      <c r="H26" s="14"/>
    </row>
    <row r="28" spans="1:14" x14ac:dyDescent="0.25">
      <c r="A28" s="10" t="s">
        <v>48</v>
      </c>
    </row>
    <row r="29" spans="1:14" x14ac:dyDescent="0.25">
      <c r="A29" s="10" t="s">
        <v>49</v>
      </c>
    </row>
    <row r="32" spans="1:14" x14ac:dyDescent="0.25">
      <c r="C32" s="15">
        <v>10</v>
      </c>
      <c r="D32" s="15">
        <v>20</v>
      </c>
      <c r="E32" s="15">
        <v>30</v>
      </c>
      <c r="F32" s="15">
        <v>40</v>
      </c>
      <c r="H32" s="27" t="s">
        <v>71</v>
      </c>
      <c r="I32" s="27" t="s">
        <v>1</v>
      </c>
      <c r="J32" s="27" t="s">
        <v>72</v>
      </c>
      <c r="K32" s="27" t="s">
        <v>3</v>
      </c>
      <c r="L32" s="27" t="s">
        <v>73</v>
      </c>
      <c r="M32" s="27" t="s">
        <v>74</v>
      </c>
      <c r="N32" s="27" t="s">
        <v>75</v>
      </c>
    </row>
    <row r="33" spans="1:16" x14ac:dyDescent="0.25">
      <c r="H33" s="16">
        <v>1</v>
      </c>
      <c r="I33" s="16" t="s">
        <v>76</v>
      </c>
      <c r="J33" s="16">
        <v>12</v>
      </c>
      <c r="K33" s="16">
        <v>650</v>
      </c>
      <c r="L33" s="16">
        <v>7800</v>
      </c>
      <c r="M33" s="16">
        <v>1404</v>
      </c>
      <c r="N33" s="16">
        <f>L33+M33</f>
        <v>9204</v>
      </c>
    </row>
    <row r="34" spans="1:16" x14ac:dyDescent="0.25">
      <c r="C34" t="s">
        <v>70</v>
      </c>
      <c r="D34">
        <f>SUM(C32,D32,E32,F32)</f>
        <v>100</v>
      </c>
      <c r="H34" s="16">
        <v>2</v>
      </c>
      <c r="I34" s="16" t="s">
        <v>77</v>
      </c>
      <c r="J34" s="16">
        <v>10</v>
      </c>
      <c r="K34" s="16">
        <v>750</v>
      </c>
      <c r="L34" s="16">
        <v>7500</v>
      </c>
      <c r="M34" s="16">
        <v>1350</v>
      </c>
      <c r="N34" s="16">
        <f t="shared" ref="N34:N37" si="1">L34+M34</f>
        <v>8850</v>
      </c>
    </row>
    <row r="35" spans="1:16" x14ac:dyDescent="0.25">
      <c r="H35" s="16">
        <v>3</v>
      </c>
      <c r="I35" s="16" t="s">
        <v>78</v>
      </c>
      <c r="J35" s="16">
        <v>6</v>
      </c>
      <c r="K35" s="16">
        <v>850</v>
      </c>
      <c r="L35" s="16">
        <v>5100</v>
      </c>
      <c r="M35" s="16">
        <v>918</v>
      </c>
      <c r="N35" s="16">
        <f t="shared" si="1"/>
        <v>6018</v>
      </c>
    </row>
    <row r="36" spans="1:16" x14ac:dyDescent="0.25">
      <c r="D36" s="10"/>
      <c r="H36" s="16">
        <v>4</v>
      </c>
      <c r="I36" s="16" t="s">
        <v>79</v>
      </c>
      <c r="J36" s="16">
        <v>9</v>
      </c>
      <c r="K36" s="16">
        <v>450</v>
      </c>
      <c r="L36" s="16">
        <v>4050</v>
      </c>
      <c r="M36" s="16">
        <v>729</v>
      </c>
      <c r="N36" s="16">
        <f t="shared" si="1"/>
        <v>4779</v>
      </c>
      <c r="P36">
        <f>M34+L33</f>
        <v>9150</v>
      </c>
    </row>
    <row r="37" spans="1:16" x14ac:dyDescent="0.25">
      <c r="H37" s="16">
        <v>5</v>
      </c>
      <c r="I37" s="16" t="s">
        <v>80</v>
      </c>
      <c r="J37" s="16">
        <v>10</v>
      </c>
      <c r="K37" s="16">
        <v>350</v>
      </c>
      <c r="L37" s="16">
        <v>3500</v>
      </c>
      <c r="M37" s="16">
        <v>630</v>
      </c>
      <c r="N37" s="16">
        <f t="shared" si="1"/>
        <v>4130</v>
      </c>
    </row>
    <row r="38" spans="1:16" x14ac:dyDescent="0.25">
      <c r="M38" s="16" t="s">
        <v>81</v>
      </c>
      <c r="N38" s="16">
        <f>SUM(N33:N37)</f>
        <v>32981</v>
      </c>
    </row>
    <row r="44" spans="1:16" ht="18.75" x14ac:dyDescent="0.3">
      <c r="A44" s="13" t="s">
        <v>11</v>
      </c>
      <c r="B44" s="13"/>
      <c r="C44" s="14"/>
      <c r="D44" s="14"/>
      <c r="E44" s="14"/>
      <c r="F44" s="14"/>
      <c r="G44" s="14"/>
      <c r="H44" s="14"/>
    </row>
    <row r="46" spans="1:16" x14ac:dyDescent="0.25">
      <c r="A46" t="s">
        <v>9</v>
      </c>
    </row>
    <row r="47" spans="1:16" x14ac:dyDescent="0.25">
      <c r="A47" s="6" t="s">
        <v>10</v>
      </c>
    </row>
    <row r="48" spans="1:16" x14ac:dyDescent="0.25">
      <c r="A48" s="6"/>
    </row>
    <row r="49" spans="1:8" x14ac:dyDescent="0.25">
      <c r="A49" t="s">
        <v>12</v>
      </c>
    </row>
    <row r="50" spans="1:8" x14ac:dyDescent="0.25">
      <c r="A50" s="6" t="s">
        <v>13</v>
      </c>
    </row>
    <row r="51" spans="1:8" x14ac:dyDescent="0.25">
      <c r="A51" s="6" t="s">
        <v>14</v>
      </c>
    </row>
    <row r="52" spans="1:8" x14ac:dyDescent="0.25">
      <c r="A52" s="6" t="s">
        <v>15</v>
      </c>
    </row>
    <row r="55" spans="1:8" ht="18.75" x14ac:dyDescent="0.3">
      <c r="A55" s="13" t="s">
        <v>16</v>
      </c>
      <c r="B55" s="13"/>
      <c r="C55" s="14"/>
      <c r="D55" s="14"/>
      <c r="E55" s="14"/>
      <c r="F55" s="14"/>
      <c r="G55" s="14"/>
      <c r="H55" s="14"/>
    </row>
    <row r="58" spans="1:8" ht="18.75" x14ac:dyDescent="0.25">
      <c r="C58" s="2"/>
      <c r="D58" s="11" t="s">
        <v>17</v>
      </c>
      <c r="E58" s="11" t="s">
        <v>1</v>
      </c>
      <c r="F58" s="11" t="s">
        <v>18</v>
      </c>
      <c r="G58" s="11" t="s">
        <v>19</v>
      </c>
      <c r="H58" s="11" t="s">
        <v>20</v>
      </c>
    </row>
    <row r="59" spans="1:8" x14ac:dyDescent="0.25">
      <c r="C59" s="5"/>
      <c r="D59" s="9" t="s">
        <v>21</v>
      </c>
      <c r="E59" s="9" t="s">
        <v>4</v>
      </c>
      <c r="F59" s="9">
        <v>2</v>
      </c>
      <c r="G59" s="9">
        <v>50000</v>
      </c>
      <c r="H59" s="9">
        <f>G59*F59</f>
        <v>100000</v>
      </c>
    </row>
    <row r="60" spans="1:8" x14ac:dyDescent="0.25">
      <c r="C60" s="5"/>
      <c r="D60" s="9" t="s">
        <v>22</v>
      </c>
      <c r="E60" s="9" t="s">
        <v>5</v>
      </c>
      <c r="F60" s="9">
        <v>5</v>
      </c>
      <c r="G60" s="9">
        <v>600</v>
      </c>
      <c r="H60" s="9">
        <f t="shared" ref="H60:H68" si="2">G60*F60</f>
        <v>3000</v>
      </c>
    </row>
    <row r="61" spans="1:8" ht="17.25" customHeight="1" x14ac:dyDescent="0.25">
      <c r="C61" s="5"/>
      <c r="D61" s="9" t="s">
        <v>23</v>
      </c>
      <c r="E61" s="9" t="s">
        <v>6</v>
      </c>
      <c r="F61" s="9">
        <v>3</v>
      </c>
      <c r="G61" s="9">
        <v>1200</v>
      </c>
      <c r="H61" s="9">
        <f t="shared" si="2"/>
        <v>3600</v>
      </c>
    </row>
    <row r="62" spans="1:8" x14ac:dyDescent="0.25">
      <c r="D62" s="9" t="s">
        <v>24</v>
      </c>
      <c r="E62" s="9" t="s">
        <v>7</v>
      </c>
      <c r="F62" s="9">
        <v>4</v>
      </c>
      <c r="G62" s="9">
        <v>15000</v>
      </c>
      <c r="H62" s="9">
        <f t="shared" si="2"/>
        <v>60000</v>
      </c>
    </row>
    <row r="63" spans="1:8" x14ac:dyDescent="0.25">
      <c r="D63" s="9" t="s">
        <v>25</v>
      </c>
      <c r="E63" s="9" t="s">
        <v>26</v>
      </c>
      <c r="F63" s="9">
        <v>2</v>
      </c>
      <c r="G63" s="9">
        <v>18000</v>
      </c>
      <c r="H63" s="9">
        <f t="shared" si="2"/>
        <v>36000</v>
      </c>
    </row>
    <row r="64" spans="1:8" x14ac:dyDescent="0.25">
      <c r="D64" s="9" t="s">
        <v>27</v>
      </c>
      <c r="E64" s="9" t="s">
        <v>28</v>
      </c>
      <c r="F64" s="9">
        <v>6</v>
      </c>
      <c r="G64" s="9">
        <v>2500</v>
      </c>
      <c r="H64" s="9">
        <f t="shared" si="2"/>
        <v>15000</v>
      </c>
    </row>
    <row r="65" spans="1:12" x14ac:dyDescent="0.25">
      <c r="D65" s="9" t="s">
        <v>29</v>
      </c>
      <c r="E65" s="9" t="s">
        <v>30</v>
      </c>
      <c r="F65" s="9">
        <v>8</v>
      </c>
      <c r="G65" s="9">
        <v>1800</v>
      </c>
      <c r="H65" s="9">
        <f t="shared" si="2"/>
        <v>14400</v>
      </c>
      <c r="J65" s="7"/>
    </row>
    <row r="66" spans="1:12" x14ac:dyDescent="0.25">
      <c r="D66" s="9" t="s">
        <v>31</v>
      </c>
      <c r="E66" s="9" t="s">
        <v>32</v>
      </c>
      <c r="F66" s="9">
        <v>5</v>
      </c>
      <c r="G66" s="9">
        <v>4500</v>
      </c>
      <c r="H66" s="9">
        <f t="shared" si="2"/>
        <v>22500</v>
      </c>
    </row>
    <row r="67" spans="1:12" x14ac:dyDescent="0.25">
      <c r="D67" s="9" t="s">
        <v>33</v>
      </c>
      <c r="E67" s="9" t="s">
        <v>34</v>
      </c>
      <c r="F67" s="9">
        <v>7</v>
      </c>
      <c r="G67" s="9">
        <v>3200</v>
      </c>
      <c r="H67" s="9">
        <f t="shared" si="2"/>
        <v>22400</v>
      </c>
    </row>
    <row r="68" spans="1:12" x14ac:dyDescent="0.25">
      <c r="D68" s="9" t="s">
        <v>35</v>
      </c>
      <c r="E68" s="9" t="s">
        <v>36</v>
      </c>
      <c r="F68" s="9">
        <v>3</v>
      </c>
      <c r="G68" s="9">
        <v>7000</v>
      </c>
      <c r="H68" s="9">
        <f t="shared" si="2"/>
        <v>21000</v>
      </c>
    </row>
    <row r="71" spans="1:12" ht="18.75" x14ac:dyDescent="0.25">
      <c r="A71" s="20" t="s">
        <v>54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2" ht="18.75" x14ac:dyDescent="0.3">
      <c r="A72" s="12" t="s">
        <v>55</v>
      </c>
    </row>
    <row r="74" spans="1:12" x14ac:dyDescent="0.25">
      <c r="A74" s="10" t="s">
        <v>53</v>
      </c>
    </row>
    <row r="75" spans="1:12" x14ac:dyDescent="0.25">
      <c r="A75" s="10" t="s">
        <v>56</v>
      </c>
    </row>
    <row r="76" spans="1:12" ht="18.75" x14ac:dyDescent="0.25">
      <c r="D76" s="11" t="s">
        <v>17</v>
      </c>
      <c r="E76" s="11" t="s">
        <v>1</v>
      </c>
      <c r="F76" s="11" t="s">
        <v>39</v>
      </c>
      <c r="G76" s="11" t="s">
        <v>52</v>
      </c>
      <c r="H76" s="4"/>
    </row>
    <row r="77" spans="1:12" x14ac:dyDescent="0.25">
      <c r="D77" s="9" t="s">
        <v>21</v>
      </c>
      <c r="E77" s="9" t="s">
        <v>4</v>
      </c>
      <c r="F77" s="9">
        <v>100000</v>
      </c>
      <c r="G77" s="29">
        <f>F77*$D$90</f>
        <v>10000</v>
      </c>
      <c r="H77" s="3"/>
    </row>
    <row r="78" spans="1:12" x14ac:dyDescent="0.25">
      <c r="D78" s="9" t="s">
        <v>22</v>
      </c>
      <c r="E78" s="9" t="s">
        <v>5</v>
      </c>
      <c r="F78" s="9">
        <v>3000</v>
      </c>
      <c r="G78" s="29">
        <f t="shared" ref="G78:G86" si="3">F78*$D$90</f>
        <v>300</v>
      </c>
      <c r="H78" s="3"/>
    </row>
    <row r="79" spans="1:12" x14ac:dyDescent="0.25">
      <c r="D79" s="9" t="s">
        <v>23</v>
      </c>
      <c r="E79" s="9" t="s">
        <v>6</v>
      </c>
      <c r="F79" s="9">
        <v>3600</v>
      </c>
      <c r="G79" s="29">
        <f t="shared" si="3"/>
        <v>360</v>
      </c>
      <c r="H79" s="3"/>
    </row>
    <row r="80" spans="1:12" x14ac:dyDescent="0.25">
      <c r="D80" s="9" t="s">
        <v>24</v>
      </c>
      <c r="E80" s="9" t="s">
        <v>7</v>
      </c>
      <c r="F80" s="9">
        <v>60000</v>
      </c>
      <c r="G80" s="29">
        <f t="shared" si="3"/>
        <v>6000</v>
      </c>
      <c r="H80" s="3"/>
    </row>
    <row r="81" spans="1:12" x14ac:dyDescent="0.25">
      <c r="D81" s="9" t="s">
        <v>25</v>
      </c>
      <c r="E81" s="9" t="s">
        <v>26</v>
      </c>
      <c r="F81" s="9">
        <v>36000</v>
      </c>
      <c r="G81" s="29">
        <f t="shared" si="3"/>
        <v>3600</v>
      </c>
      <c r="H81" s="3"/>
    </row>
    <row r="82" spans="1:12" x14ac:dyDescent="0.25">
      <c r="D82" s="9" t="s">
        <v>27</v>
      </c>
      <c r="E82" s="9" t="s">
        <v>28</v>
      </c>
      <c r="F82" s="9">
        <v>15000</v>
      </c>
      <c r="G82" s="29">
        <f t="shared" si="3"/>
        <v>1500</v>
      </c>
      <c r="H82" s="3"/>
    </row>
    <row r="83" spans="1:12" x14ac:dyDescent="0.25">
      <c r="D83" s="9" t="s">
        <v>29</v>
      </c>
      <c r="E83" s="9" t="s">
        <v>30</v>
      </c>
      <c r="F83" s="9">
        <v>14400</v>
      </c>
      <c r="G83" s="29">
        <f>F83*$D$90</f>
        <v>1440</v>
      </c>
      <c r="H83" s="3"/>
    </row>
    <row r="84" spans="1:12" x14ac:dyDescent="0.25">
      <c r="D84" s="9" t="s">
        <v>31</v>
      </c>
      <c r="E84" s="9" t="s">
        <v>32</v>
      </c>
      <c r="F84" s="9">
        <v>22500</v>
      </c>
      <c r="G84" s="29">
        <f t="shared" si="3"/>
        <v>2250</v>
      </c>
      <c r="H84" s="3"/>
    </row>
    <row r="85" spans="1:12" x14ac:dyDescent="0.25">
      <c r="D85" s="9" t="s">
        <v>33</v>
      </c>
      <c r="E85" s="9" t="s">
        <v>34</v>
      </c>
      <c r="F85" s="9">
        <v>22400</v>
      </c>
      <c r="G85" s="29">
        <f t="shared" si="3"/>
        <v>2240</v>
      </c>
      <c r="H85" s="3"/>
    </row>
    <row r="86" spans="1:12" x14ac:dyDescent="0.25">
      <c r="D86" s="9" t="s">
        <v>35</v>
      </c>
      <c r="E86" s="9" t="s">
        <v>36</v>
      </c>
      <c r="F86" s="9">
        <v>21000</v>
      </c>
      <c r="G86" s="29">
        <f t="shared" si="3"/>
        <v>2100</v>
      </c>
      <c r="H86" s="3"/>
    </row>
    <row r="89" spans="1:12" x14ac:dyDescent="0.25">
      <c r="D89" s="19" t="s">
        <v>51</v>
      </c>
    </row>
    <row r="90" spans="1:12" x14ac:dyDescent="0.25">
      <c r="D90" s="22">
        <v>0.1</v>
      </c>
    </row>
    <row r="93" spans="1:12" ht="18.75" x14ac:dyDescent="0.25">
      <c r="A93" s="20" t="s">
        <v>82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5" spans="1:12" ht="15.75" x14ac:dyDescent="0.3">
      <c r="A95" s="23" t="s">
        <v>57</v>
      </c>
      <c r="D95" t="s">
        <v>83</v>
      </c>
      <c r="E95" t="s">
        <v>84</v>
      </c>
    </row>
    <row r="96" spans="1:12" ht="15.75" x14ac:dyDescent="0.3">
      <c r="A96" s="23" t="s">
        <v>58</v>
      </c>
      <c r="D96" s="26" t="s">
        <v>85</v>
      </c>
      <c r="E96" s="26" t="s">
        <v>86</v>
      </c>
    </row>
    <row r="98" spans="1:8" ht="18.75" x14ac:dyDescent="0.25">
      <c r="C98" t="s">
        <v>64</v>
      </c>
      <c r="D98" s="11" t="s">
        <v>59</v>
      </c>
      <c r="E98" s="11" t="s">
        <v>4</v>
      </c>
      <c r="F98" s="11" t="s">
        <v>5</v>
      </c>
      <c r="G98" s="11" t="s">
        <v>6</v>
      </c>
      <c r="H98" s="11" t="s">
        <v>7</v>
      </c>
    </row>
    <row r="99" spans="1:8" x14ac:dyDescent="0.25">
      <c r="D99" s="9" t="s">
        <v>60</v>
      </c>
      <c r="E99" s="9">
        <v>100000</v>
      </c>
      <c r="F99" s="9">
        <v>3000</v>
      </c>
      <c r="G99" s="9">
        <v>3600</v>
      </c>
      <c r="H99" s="9">
        <v>60000</v>
      </c>
    </row>
    <row r="100" spans="1:8" x14ac:dyDescent="0.25">
      <c r="D100" s="9" t="s">
        <v>61</v>
      </c>
      <c r="E100" s="9">
        <v>85000</v>
      </c>
      <c r="F100" s="9">
        <v>4500</v>
      </c>
      <c r="G100" s="9">
        <v>2400</v>
      </c>
      <c r="H100" s="9">
        <v>45000</v>
      </c>
    </row>
    <row r="101" spans="1:8" x14ac:dyDescent="0.25">
      <c r="D101" s="9" t="s">
        <v>62</v>
      </c>
      <c r="E101" s="9">
        <v>120000</v>
      </c>
      <c r="F101" s="9">
        <v>3600</v>
      </c>
      <c r="G101" s="9">
        <v>4800</v>
      </c>
      <c r="H101" s="9">
        <v>75000</v>
      </c>
    </row>
    <row r="104" spans="1:8" ht="18.75" x14ac:dyDescent="0.25">
      <c r="C104" s="24" t="s">
        <v>65</v>
      </c>
      <c r="D104" s="8"/>
      <c r="E104" s="11" t="s">
        <v>4</v>
      </c>
      <c r="F104" s="11" t="s">
        <v>5</v>
      </c>
      <c r="G104" s="11" t="s">
        <v>6</v>
      </c>
      <c r="H104" s="11" t="s">
        <v>7</v>
      </c>
    </row>
    <row r="105" spans="1:8" x14ac:dyDescent="0.25">
      <c r="D105" s="25" t="s">
        <v>63</v>
      </c>
      <c r="E105" s="22">
        <v>0.05</v>
      </c>
      <c r="F105" s="22">
        <v>0.08</v>
      </c>
      <c r="G105" s="22">
        <v>0.06</v>
      </c>
      <c r="H105" s="22">
        <v>0.1</v>
      </c>
    </row>
    <row r="107" spans="1:8" x14ac:dyDescent="0.25">
      <c r="A107" t="s">
        <v>69</v>
      </c>
    </row>
    <row r="109" spans="1:8" ht="18.75" x14ac:dyDescent="0.25">
      <c r="D109" s="11" t="s">
        <v>59</v>
      </c>
      <c r="E109" s="11" t="s">
        <v>4</v>
      </c>
      <c r="F109" s="11" t="s">
        <v>5</v>
      </c>
      <c r="G109" s="11" t="s">
        <v>6</v>
      </c>
      <c r="H109" s="11" t="s">
        <v>7</v>
      </c>
    </row>
    <row r="110" spans="1:8" x14ac:dyDescent="0.25">
      <c r="D110" s="9" t="s">
        <v>60</v>
      </c>
      <c r="E110" s="15">
        <f>E99*E$105</f>
        <v>5000</v>
      </c>
      <c r="F110" s="15">
        <f t="shared" ref="F110:G110" si="4">F99*F$105</f>
        <v>240</v>
      </c>
      <c r="G110" s="15">
        <f t="shared" si="4"/>
        <v>216</v>
      </c>
      <c r="H110" s="15">
        <f>H99*H$105</f>
        <v>6000</v>
      </c>
    </row>
    <row r="111" spans="1:8" x14ac:dyDescent="0.25">
      <c r="D111" s="9" t="s">
        <v>61</v>
      </c>
      <c r="E111" s="15">
        <f>E100*E$105</f>
        <v>4250</v>
      </c>
      <c r="F111" s="15">
        <f t="shared" ref="F111:H111" si="5">F100*F$105</f>
        <v>360</v>
      </c>
      <c r="G111" s="15">
        <f t="shared" si="5"/>
        <v>144</v>
      </c>
      <c r="H111" s="15">
        <f t="shared" si="5"/>
        <v>4500</v>
      </c>
    </row>
    <row r="112" spans="1:8" x14ac:dyDescent="0.25">
      <c r="D112" s="9" t="s">
        <v>62</v>
      </c>
      <c r="E112" s="15">
        <f>E101*E$105</f>
        <v>6000</v>
      </c>
      <c r="F112" s="15">
        <f t="shared" ref="F112:H112" si="6">F101*F$105</f>
        <v>288</v>
      </c>
      <c r="G112" s="15">
        <f t="shared" si="6"/>
        <v>288</v>
      </c>
      <c r="H112" s="15">
        <f t="shared" si="6"/>
        <v>7500</v>
      </c>
    </row>
    <row r="114" spans="3:8" x14ac:dyDescent="0.25">
      <c r="D114" s="10" t="s">
        <v>68</v>
      </c>
    </row>
    <row r="115" spans="3:8" ht="15.75" x14ac:dyDescent="0.3">
      <c r="D115" s="26" t="s">
        <v>66</v>
      </c>
    </row>
    <row r="116" spans="3:8" ht="15.75" x14ac:dyDescent="0.3">
      <c r="D116" s="26" t="s">
        <v>67</v>
      </c>
    </row>
    <row r="118" spans="3:8" ht="15.75" x14ac:dyDescent="0.25">
      <c r="C118" s="7"/>
      <c r="D118" s="28">
        <v>10</v>
      </c>
      <c r="E118" s="28">
        <v>20</v>
      </c>
      <c r="F118" s="28">
        <v>30</v>
      </c>
      <c r="G118" s="28">
        <v>40</v>
      </c>
      <c r="H118" s="28">
        <v>50</v>
      </c>
    </row>
    <row r="119" spans="3:8" ht="15.75" x14ac:dyDescent="0.25">
      <c r="C119" s="28">
        <v>1</v>
      </c>
      <c r="D119" s="16">
        <f>$C119*D$118</f>
        <v>10</v>
      </c>
      <c r="E119" s="16">
        <f t="shared" ref="E119:H123" si="7">$C119*E$118</f>
        <v>20</v>
      </c>
      <c r="F119" s="16">
        <f t="shared" si="7"/>
        <v>30</v>
      </c>
      <c r="G119" s="16">
        <f t="shared" si="7"/>
        <v>40</v>
      </c>
      <c r="H119" s="16">
        <f t="shared" si="7"/>
        <v>50</v>
      </c>
    </row>
    <row r="120" spans="3:8" ht="15.75" x14ac:dyDescent="0.25">
      <c r="C120" s="28">
        <v>2</v>
      </c>
      <c r="D120" s="16">
        <f t="shared" ref="D120:D123" si="8">$C120*D$118</f>
        <v>20</v>
      </c>
      <c r="E120" s="16">
        <f t="shared" si="7"/>
        <v>40</v>
      </c>
      <c r="F120" s="16">
        <f t="shared" si="7"/>
        <v>60</v>
      </c>
      <c r="G120" s="16">
        <f t="shared" si="7"/>
        <v>80</v>
      </c>
      <c r="H120" s="16">
        <f t="shared" si="7"/>
        <v>100</v>
      </c>
    </row>
    <row r="121" spans="3:8" ht="15.75" x14ac:dyDescent="0.25">
      <c r="C121" s="28">
        <v>3</v>
      </c>
      <c r="D121" s="16">
        <f t="shared" si="8"/>
        <v>30</v>
      </c>
      <c r="E121" s="16">
        <f t="shared" si="7"/>
        <v>60</v>
      </c>
      <c r="F121" s="16">
        <f t="shared" si="7"/>
        <v>90</v>
      </c>
      <c r="G121" s="16">
        <f t="shared" si="7"/>
        <v>120</v>
      </c>
      <c r="H121" s="16">
        <f t="shared" si="7"/>
        <v>150</v>
      </c>
    </row>
    <row r="122" spans="3:8" ht="15.75" x14ac:dyDescent="0.25">
      <c r="C122" s="28">
        <v>4</v>
      </c>
      <c r="D122" s="16">
        <f t="shared" si="8"/>
        <v>40</v>
      </c>
      <c r="E122" s="16">
        <f t="shared" si="7"/>
        <v>80</v>
      </c>
      <c r="F122" s="16">
        <f t="shared" si="7"/>
        <v>120</v>
      </c>
      <c r="G122" s="16">
        <f t="shared" si="7"/>
        <v>160</v>
      </c>
      <c r="H122" s="16">
        <f t="shared" si="7"/>
        <v>200</v>
      </c>
    </row>
    <row r="123" spans="3:8" ht="15.75" x14ac:dyDescent="0.25">
      <c r="C123" s="28">
        <v>5</v>
      </c>
      <c r="D123" s="16">
        <f t="shared" si="8"/>
        <v>50</v>
      </c>
      <c r="E123" s="16">
        <f t="shared" si="7"/>
        <v>100</v>
      </c>
      <c r="F123" s="16">
        <f t="shared" si="7"/>
        <v>150</v>
      </c>
      <c r="G123" s="16">
        <f t="shared" si="7"/>
        <v>200</v>
      </c>
      <c r="H123" s="16">
        <f t="shared" si="7"/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90A6-A13E-4868-A84C-3899367061E8}">
  <dimension ref="A1:T105"/>
  <sheetViews>
    <sheetView topLeftCell="A99" zoomScale="110" zoomScaleNormal="110" workbookViewId="0">
      <selection activeCell="H127" sqref="A117:H127"/>
    </sheetView>
  </sheetViews>
  <sheetFormatPr defaultRowHeight="15" x14ac:dyDescent="0.25"/>
  <cols>
    <col min="1" max="1" width="15.140625" customWidth="1"/>
    <col min="3" max="3" width="22.28515625" customWidth="1"/>
    <col min="4" max="4" width="31.5703125" customWidth="1"/>
    <col min="5" max="5" width="18" customWidth="1"/>
    <col min="10" max="10" width="9.140625" customWidth="1"/>
    <col min="12" max="12" width="15.5703125" customWidth="1"/>
  </cols>
  <sheetData>
    <row r="1" spans="1:20" ht="26.25" x14ac:dyDescent="0.4">
      <c r="A1" s="31" t="s">
        <v>87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4"/>
      <c r="P1" s="34"/>
      <c r="Q1" s="34"/>
      <c r="R1" s="34"/>
      <c r="S1" s="34"/>
      <c r="T1" s="34"/>
    </row>
    <row r="3" spans="1:20" x14ac:dyDescent="0.25">
      <c r="A3" t="s">
        <v>88</v>
      </c>
    </row>
    <row r="4" spans="1:20" ht="16.5" x14ac:dyDescent="0.3">
      <c r="A4" t="s">
        <v>95</v>
      </c>
    </row>
    <row r="5" spans="1:20" x14ac:dyDescent="0.25">
      <c r="E5" s="2"/>
      <c r="F5" s="4"/>
      <c r="G5" s="4"/>
      <c r="H5" s="4"/>
    </row>
    <row r="6" spans="1:20" x14ac:dyDescent="0.25">
      <c r="A6" t="s">
        <v>89</v>
      </c>
      <c r="E6" s="5"/>
      <c r="F6" s="3"/>
      <c r="G6" s="3"/>
      <c r="H6" s="18"/>
    </row>
    <row r="7" spans="1:20" ht="15.75" x14ac:dyDescent="0.3">
      <c r="A7" s="26" t="s">
        <v>90</v>
      </c>
      <c r="D7" s="10" t="s">
        <v>93</v>
      </c>
      <c r="E7" s="5"/>
      <c r="F7" s="3"/>
      <c r="G7" s="3"/>
      <c r="H7" s="18"/>
    </row>
    <row r="8" spans="1:20" ht="15.75" x14ac:dyDescent="0.3">
      <c r="A8" s="26" t="s">
        <v>91</v>
      </c>
      <c r="D8" t="s">
        <v>94</v>
      </c>
      <c r="E8" s="5"/>
      <c r="F8" s="3"/>
      <c r="G8" s="3"/>
      <c r="H8" s="18"/>
    </row>
    <row r="9" spans="1:20" x14ac:dyDescent="0.25">
      <c r="A9" s="30" t="s">
        <v>92</v>
      </c>
      <c r="E9" s="10"/>
      <c r="F9" s="3"/>
      <c r="G9" s="3"/>
      <c r="H9" s="18"/>
    </row>
    <row r="10" spans="1:20" x14ac:dyDescent="0.25">
      <c r="F10" s="3"/>
      <c r="G10" s="3"/>
      <c r="H10" s="18"/>
    </row>
    <row r="11" spans="1:20" x14ac:dyDescent="0.25">
      <c r="A11" s="10" t="s">
        <v>87</v>
      </c>
    </row>
    <row r="12" spans="1:20" x14ac:dyDescent="0.25">
      <c r="A12" t="s">
        <v>126</v>
      </c>
    </row>
    <row r="14" spans="1:20" ht="18" x14ac:dyDescent="0.25">
      <c r="A14" s="47" t="s">
        <v>190</v>
      </c>
    </row>
    <row r="15" spans="1:20" x14ac:dyDescent="0.25">
      <c r="A15" s="48" t="s">
        <v>191</v>
      </c>
    </row>
    <row r="16" spans="1:20" x14ac:dyDescent="0.25">
      <c r="A16" s="48" t="s">
        <v>192</v>
      </c>
    </row>
    <row r="17" spans="1:8" x14ac:dyDescent="0.25">
      <c r="A17" s="48" t="s">
        <v>193</v>
      </c>
    </row>
    <row r="18" spans="1:8" x14ac:dyDescent="0.25">
      <c r="A18" s="48" t="s">
        <v>194</v>
      </c>
    </row>
    <row r="19" spans="1:8" x14ac:dyDescent="0.25">
      <c r="A19" s="48" t="s">
        <v>195</v>
      </c>
    </row>
    <row r="20" spans="1:8" x14ac:dyDescent="0.25">
      <c r="A20" s="48"/>
    </row>
    <row r="21" spans="1:8" x14ac:dyDescent="0.25">
      <c r="C21" s="8" t="s">
        <v>96</v>
      </c>
      <c r="D21" s="8" t="s">
        <v>97</v>
      </c>
      <c r="E21" s="8" t="s">
        <v>98</v>
      </c>
      <c r="F21" s="8" t="s">
        <v>18</v>
      </c>
      <c r="G21" s="8" t="s">
        <v>38</v>
      </c>
      <c r="H21" s="8" t="s">
        <v>99</v>
      </c>
    </row>
    <row r="22" spans="1:8" x14ac:dyDescent="0.25">
      <c r="C22" s="9" t="s">
        <v>100</v>
      </c>
      <c r="D22" s="9" t="s">
        <v>4</v>
      </c>
      <c r="E22" s="9" t="s">
        <v>101</v>
      </c>
      <c r="F22" s="9">
        <v>2</v>
      </c>
      <c r="G22" s="32">
        <v>55000</v>
      </c>
      <c r="H22" s="32">
        <v>110000</v>
      </c>
    </row>
    <row r="23" spans="1:8" x14ac:dyDescent="0.25">
      <c r="C23" s="9" t="s">
        <v>102</v>
      </c>
      <c r="D23" s="9" t="s">
        <v>5</v>
      </c>
      <c r="E23" s="9" t="s">
        <v>103</v>
      </c>
      <c r="F23" s="9">
        <v>5</v>
      </c>
      <c r="G23" s="9">
        <v>700</v>
      </c>
      <c r="H23" s="32">
        <v>3500</v>
      </c>
    </row>
    <row r="24" spans="1:8" x14ac:dyDescent="0.25">
      <c r="C24" s="9" t="s">
        <v>104</v>
      </c>
      <c r="D24" s="9" t="s">
        <v>6</v>
      </c>
      <c r="E24" s="9" t="s">
        <v>103</v>
      </c>
      <c r="F24" s="9">
        <v>3</v>
      </c>
      <c r="G24" s="32">
        <v>1200</v>
      </c>
      <c r="H24" s="32">
        <v>3600</v>
      </c>
    </row>
    <row r="25" spans="1:8" x14ac:dyDescent="0.25">
      <c r="C25" s="9" t="s">
        <v>105</v>
      </c>
      <c r="D25" s="9" t="s">
        <v>7</v>
      </c>
      <c r="E25" s="9" t="s">
        <v>101</v>
      </c>
      <c r="F25" s="9">
        <v>2</v>
      </c>
      <c r="G25" s="32">
        <v>15000</v>
      </c>
      <c r="H25" s="32">
        <v>30000</v>
      </c>
    </row>
    <row r="26" spans="1:8" x14ac:dyDescent="0.25">
      <c r="C26" s="9" t="s">
        <v>106</v>
      </c>
      <c r="D26" s="9" t="s">
        <v>26</v>
      </c>
      <c r="E26" s="9" t="s">
        <v>101</v>
      </c>
      <c r="F26" s="9">
        <v>1</v>
      </c>
      <c r="G26" s="32">
        <v>12000</v>
      </c>
      <c r="H26" s="32">
        <v>12000</v>
      </c>
    </row>
    <row r="27" spans="1:8" x14ac:dyDescent="0.25">
      <c r="C27" s="9" t="s">
        <v>107</v>
      </c>
      <c r="D27" s="9" t="s">
        <v>40</v>
      </c>
      <c r="E27" s="9" t="s">
        <v>103</v>
      </c>
      <c r="F27" s="9">
        <v>8</v>
      </c>
      <c r="G27" s="9">
        <v>600</v>
      </c>
      <c r="H27" s="32">
        <v>4800</v>
      </c>
    </row>
    <row r="28" spans="1:8" x14ac:dyDescent="0.25">
      <c r="C28" s="9" t="s">
        <v>108</v>
      </c>
      <c r="D28" s="9" t="s">
        <v>28</v>
      </c>
      <c r="E28" s="9" t="s">
        <v>103</v>
      </c>
      <c r="F28" s="9">
        <v>4</v>
      </c>
      <c r="G28" s="32">
        <v>2500</v>
      </c>
      <c r="H28" s="32">
        <v>10000</v>
      </c>
    </row>
    <row r="29" spans="1:8" x14ac:dyDescent="0.25">
      <c r="C29" s="9" t="s">
        <v>109</v>
      </c>
      <c r="D29" s="9" t="s">
        <v>30</v>
      </c>
      <c r="E29" s="9" t="s">
        <v>101</v>
      </c>
      <c r="F29" s="9">
        <v>3</v>
      </c>
      <c r="G29" s="32">
        <v>3500</v>
      </c>
      <c r="H29" s="32">
        <v>10500</v>
      </c>
    </row>
    <row r="30" spans="1:8" x14ac:dyDescent="0.25">
      <c r="C30" s="9" t="s">
        <v>110</v>
      </c>
      <c r="D30" s="9" t="s">
        <v>111</v>
      </c>
      <c r="E30" s="9" t="s">
        <v>112</v>
      </c>
      <c r="F30" s="9">
        <v>2</v>
      </c>
      <c r="G30" s="32">
        <v>2800</v>
      </c>
      <c r="H30" s="32">
        <v>5600</v>
      </c>
    </row>
    <row r="31" spans="1:8" x14ac:dyDescent="0.25">
      <c r="C31" s="9" t="s">
        <v>113</v>
      </c>
      <c r="D31" s="9" t="s">
        <v>32</v>
      </c>
      <c r="E31" s="9" t="s">
        <v>114</v>
      </c>
      <c r="F31" s="9">
        <v>4</v>
      </c>
      <c r="G31" s="32">
        <v>5000</v>
      </c>
      <c r="H31" s="32">
        <v>20000</v>
      </c>
    </row>
    <row r="33" spans="1:14" x14ac:dyDescent="0.25">
      <c r="A33" s="10" t="s">
        <v>123</v>
      </c>
      <c r="D33" s="33" t="s">
        <v>124</v>
      </c>
      <c r="E33" s="33" t="s">
        <v>125</v>
      </c>
    </row>
    <row r="34" spans="1:14" x14ac:dyDescent="0.25">
      <c r="A34" t="s">
        <v>115</v>
      </c>
      <c r="D34" s="15"/>
      <c r="E34" s="15"/>
    </row>
    <row r="35" spans="1:14" x14ac:dyDescent="0.25">
      <c r="A35" t="s">
        <v>116</v>
      </c>
      <c r="D35" s="15"/>
      <c r="E35" s="15"/>
    </row>
    <row r="36" spans="1:14" x14ac:dyDescent="0.25">
      <c r="A36" t="s">
        <v>117</v>
      </c>
      <c r="D36" s="15"/>
      <c r="E36" s="15"/>
    </row>
    <row r="37" spans="1:14" x14ac:dyDescent="0.25">
      <c r="A37" t="s">
        <v>118</v>
      </c>
      <c r="D37" s="15"/>
      <c r="E37" s="15"/>
    </row>
    <row r="38" spans="1:14" x14ac:dyDescent="0.25">
      <c r="A38" t="s">
        <v>119</v>
      </c>
      <c r="D38" s="15"/>
      <c r="E38" s="15"/>
    </row>
    <row r="39" spans="1:14" x14ac:dyDescent="0.25">
      <c r="A39" t="s">
        <v>120</v>
      </c>
      <c r="D39" s="15"/>
      <c r="E39" s="15"/>
    </row>
    <row r="40" spans="1:14" x14ac:dyDescent="0.25">
      <c r="A40" t="s">
        <v>121</v>
      </c>
      <c r="D40" s="15"/>
      <c r="E40" s="15"/>
    </row>
    <row r="41" spans="1:14" x14ac:dyDescent="0.25">
      <c r="A41" t="s">
        <v>122</v>
      </c>
      <c r="D41" s="15"/>
      <c r="E41" s="15"/>
    </row>
    <row r="44" spans="1:14" ht="26.25" x14ac:dyDescent="0.4">
      <c r="A44" s="31" t="s">
        <v>134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6" spans="1:14" x14ac:dyDescent="0.25">
      <c r="A46" t="s">
        <v>135</v>
      </c>
    </row>
    <row r="47" spans="1:14" x14ac:dyDescent="0.25">
      <c r="A47" s="10" t="s">
        <v>136</v>
      </c>
    </row>
    <row r="48" spans="1:14" x14ac:dyDescent="0.25">
      <c r="A48" t="s">
        <v>137</v>
      </c>
    </row>
    <row r="50" spans="1:12" ht="24" x14ac:dyDescent="0.25">
      <c r="A50" s="35" t="s">
        <v>138</v>
      </c>
    </row>
    <row r="51" spans="1:12" x14ac:dyDescent="0.25">
      <c r="A51" s="36" t="s">
        <v>139</v>
      </c>
    </row>
    <row r="52" spans="1:12" x14ac:dyDescent="0.25">
      <c r="A52" s="36" t="s">
        <v>140</v>
      </c>
    </row>
    <row r="53" spans="1:12" x14ac:dyDescent="0.25">
      <c r="A53" s="36" t="s">
        <v>141</v>
      </c>
    </row>
    <row r="54" spans="1:12" x14ac:dyDescent="0.25">
      <c r="A54" s="36" t="s">
        <v>142</v>
      </c>
    </row>
    <row r="55" spans="1:12" x14ac:dyDescent="0.25">
      <c r="A55" s="36" t="s">
        <v>143</v>
      </c>
    </row>
    <row r="56" spans="1:12" x14ac:dyDescent="0.25">
      <c r="J56" s="45"/>
      <c r="K56" s="45"/>
      <c r="L56" s="45"/>
    </row>
    <row r="57" spans="1:12" x14ac:dyDescent="0.25">
      <c r="B57" s="8" t="s">
        <v>17</v>
      </c>
      <c r="C57" s="8" t="s">
        <v>144</v>
      </c>
      <c r="D57" s="8" t="s">
        <v>1</v>
      </c>
      <c r="E57" s="8" t="s">
        <v>98</v>
      </c>
      <c r="F57" s="8" t="s">
        <v>145</v>
      </c>
      <c r="G57" s="8" t="s">
        <v>18</v>
      </c>
      <c r="H57" s="8" t="s">
        <v>38</v>
      </c>
      <c r="I57" s="44"/>
      <c r="J57" s="46"/>
      <c r="K57" s="46"/>
      <c r="L57" s="46"/>
    </row>
    <row r="58" spans="1:12" x14ac:dyDescent="0.25">
      <c r="B58" s="9" t="s">
        <v>146</v>
      </c>
      <c r="C58" s="41">
        <v>46204</v>
      </c>
      <c r="D58" s="9" t="s">
        <v>4</v>
      </c>
      <c r="E58" s="9" t="s">
        <v>101</v>
      </c>
      <c r="F58" s="9" t="s">
        <v>131</v>
      </c>
      <c r="G58" s="9">
        <v>2</v>
      </c>
      <c r="H58" s="9">
        <v>55000</v>
      </c>
      <c r="I58" s="42"/>
    </row>
    <row r="59" spans="1:12" x14ac:dyDescent="0.25">
      <c r="B59" s="9" t="s">
        <v>147</v>
      </c>
      <c r="C59" s="41">
        <v>46204</v>
      </c>
      <c r="D59" s="9" t="s">
        <v>5</v>
      </c>
      <c r="E59" s="9" t="s">
        <v>103</v>
      </c>
      <c r="F59" s="9" t="s">
        <v>132</v>
      </c>
      <c r="G59" s="9">
        <v>5</v>
      </c>
      <c r="H59" s="9">
        <v>700</v>
      </c>
      <c r="I59" s="42"/>
    </row>
    <row r="60" spans="1:12" x14ac:dyDescent="0.25">
      <c r="B60" s="9" t="s">
        <v>148</v>
      </c>
      <c r="C60" s="41">
        <v>46205</v>
      </c>
      <c r="D60" s="9" t="s">
        <v>6</v>
      </c>
      <c r="E60" s="9" t="s">
        <v>103</v>
      </c>
      <c r="F60" s="9" t="s">
        <v>133</v>
      </c>
      <c r="G60" s="9">
        <v>3</v>
      </c>
      <c r="H60" s="9">
        <v>1200</v>
      </c>
      <c r="I60" s="42"/>
    </row>
    <row r="61" spans="1:12" x14ac:dyDescent="0.25">
      <c r="B61" s="9" t="s">
        <v>149</v>
      </c>
      <c r="C61" s="41">
        <v>46206</v>
      </c>
      <c r="D61" s="9" t="s">
        <v>7</v>
      </c>
      <c r="E61" s="9" t="s">
        <v>101</v>
      </c>
      <c r="F61" s="9" t="s">
        <v>131</v>
      </c>
      <c r="G61" s="9">
        <v>2</v>
      </c>
      <c r="H61" s="9">
        <v>15000</v>
      </c>
      <c r="I61" s="42"/>
    </row>
    <row r="62" spans="1:12" x14ac:dyDescent="0.25">
      <c r="B62" s="9" t="s">
        <v>150</v>
      </c>
      <c r="C62" s="41">
        <v>46207</v>
      </c>
      <c r="D62" s="9" t="s">
        <v>26</v>
      </c>
      <c r="E62" s="9" t="s">
        <v>101</v>
      </c>
      <c r="F62" s="9" t="s">
        <v>132</v>
      </c>
      <c r="G62" s="9">
        <v>1</v>
      </c>
      <c r="H62" s="9">
        <v>12000</v>
      </c>
      <c r="I62" s="42"/>
    </row>
    <row r="63" spans="1:12" x14ac:dyDescent="0.25">
      <c r="B63" s="9" t="s">
        <v>151</v>
      </c>
      <c r="C63" s="41">
        <v>46208</v>
      </c>
      <c r="D63" s="9" t="s">
        <v>28</v>
      </c>
      <c r="E63" s="9" t="s">
        <v>103</v>
      </c>
      <c r="F63" s="9" t="s">
        <v>133</v>
      </c>
      <c r="G63" s="9">
        <v>4</v>
      </c>
      <c r="H63" s="9">
        <v>2500</v>
      </c>
      <c r="I63" s="42"/>
    </row>
    <row r="64" spans="1:12" x14ac:dyDescent="0.25">
      <c r="B64" s="9" t="s">
        <v>152</v>
      </c>
      <c r="C64" s="41">
        <v>46209</v>
      </c>
      <c r="D64" s="9" t="s">
        <v>30</v>
      </c>
      <c r="E64" s="9" t="s">
        <v>101</v>
      </c>
      <c r="F64" s="9" t="s">
        <v>131</v>
      </c>
      <c r="G64" s="9">
        <v>3</v>
      </c>
      <c r="H64" s="9">
        <v>3500</v>
      </c>
      <c r="I64" s="42"/>
    </row>
    <row r="65" spans="1:15" x14ac:dyDescent="0.25">
      <c r="B65" s="9" t="s">
        <v>153</v>
      </c>
      <c r="C65" s="41">
        <v>46210</v>
      </c>
      <c r="D65" s="9" t="s">
        <v>111</v>
      </c>
      <c r="E65" s="9" t="s">
        <v>112</v>
      </c>
      <c r="F65" s="9" t="s">
        <v>132</v>
      </c>
      <c r="G65" s="9">
        <v>2</v>
      </c>
      <c r="H65" s="9">
        <v>2800</v>
      </c>
      <c r="I65" s="42"/>
    </row>
    <row r="66" spans="1:15" x14ac:dyDescent="0.25">
      <c r="B66" s="42"/>
      <c r="C66" s="43"/>
      <c r="D66" s="42"/>
      <c r="E66" s="42"/>
      <c r="F66" s="42"/>
      <c r="G66" s="42"/>
      <c r="H66" s="42"/>
      <c r="I66" s="42"/>
    </row>
    <row r="67" spans="1:15" x14ac:dyDescent="0.25">
      <c r="B67" s="42"/>
      <c r="C67" s="43"/>
      <c r="D67" s="19" t="s">
        <v>51</v>
      </c>
      <c r="E67" s="42"/>
      <c r="F67" s="42"/>
      <c r="G67" s="42"/>
      <c r="H67" s="42"/>
      <c r="I67" s="42"/>
    </row>
    <row r="68" spans="1:15" x14ac:dyDescent="0.25">
      <c r="B68" s="42"/>
      <c r="C68" s="43"/>
      <c r="D68" s="22">
        <v>0.1</v>
      </c>
      <c r="E68" s="42"/>
      <c r="F68" s="42"/>
      <c r="G68" s="42"/>
      <c r="H68" s="42"/>
      <c r="I68" s="42"/>
    </row>
    <row r="69" spans="1:15" x14ac:dyDescent="0.25">
      <c r="B69" s="42"/>
      <c r="C69" s="43"/>
      <c r="D69" s="42"/>
      <c r="E69" s="42"/>
      <c r="F69" s="42"/>
      <c r="G69" s="42"/>
      <c r="H69" s="42"/>
      <c r="I69" s="42"/>
    </row>
    <row r="70" spans="1:15" x14ac:dyDescent="0.25">
      <c r="B70" s="42"/>
      <c r="C70" s="43"/>
      <c r="D70" s="42"/>
      <c r="E70" s="42"/>
      <c r="F70" s="42"/>
      <c r="G70" s="42"/>
      <c r="H70" s="42"/>
      <c r="I70" s="42"/>
    </row>
    <row r="72" spans="1:15" x14ac:dyDescent="0.25">
      <c r="A72" t="s">
        <v>154</v>
      </c>
    </row>
    <row r="74" spans="1:15" x14ac:dyDescent="0.25">
      <c r="A74" s="39" t="s">
        <v>155</v>
      </c>
      <c r="B74" s="39"/>
      <c r="C74" s="39"/>
      <c r="D74" s="40" t="s">
        <v>156</v>
      </c>
    </row>
    <row r="75" spans="1:15" x14ac:dyDescent="0.25">
      <c r="A75" s="37" t="s">
        <v>161</v>
      </c>
      <c r="B75" s="37"/>
      <c r="C75" s="37"/>
      <c r="D75" s="15" t="s">
        <v>157</v>
      </c>
    </row>
    <row r="76" spans="1:15" x14ac:dyDescent="0.25">
      <c r="A76" s="37" t="s">
        <v>162</v>
      </c>
      <c r="B76" s="37"/>
      <c r="C76" s="37"/>
      <c r="D76" s="15" t="s">
        <v>158</v>
      </c>
    </row>
    <row r="77" spans="1:15" x14ac:dyDescent="0.25">
      <c r="A77" s="15" t="s">
        <v>159</v>
      </c>
      <c r="B77" s="15"/>
      <c r="C77" s="15"/>
      <c r="D77" s="38" t="s">
        <v>160</v>
      </c>
    </row>
    <row r="79" spans="1:15" x14ac:dyDescent="0.25">
      <c r="A79" s="31" t="s">
        <v>127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spans="1:15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</row>
    <row r="82" spans="1:1" ht="24" x14ac:dyDescent="0.25">
      <c r="A82" s="35" t="s">
        <v>128</v>
      </c>
    </row>
    <row r="84" spans="1:1" x14ac:dyDescent="0.25">
      <c r="A84" s="10" t="s">
        <v>130</v>
      </c>
    </row>
    <row r="85" spans="1:1" x14ac:dyDescent="0.25">
      <c r="A85" t="s">
        <v>129</v>
      </c>
    </row>
    <row r="86" spans="1:1" x14ac:dyDescent="0.25">
      <c r="A86" t="s">
        <v>163</v>
      </c>
    </row>
    <row r="87" spans="1:1" x14ac:dyDescent="0.25">
      <c r="A87" t="s">
        <v>177</v>
      </c>
    </row>
    <row r="89" spans="1:1" x14ac:dyDescent="0.25">
      <c r="A89" s="10" t="s">
        <v>164</v>
      </c>
    </row>
    <row r="90" spans="1:1" x14ac:dyDescent="0.25">
      <c r="A90" s="36" t="s">
        <v>165</v>
      </c>
    </row>
    <row r="91" spans="1:1" x14ac:dyDescent="0.25">
      <c r="A91" s="36" t="s">
        <v>166</v>
      </c>
    </row>
    <row r="92" spans="1:1" x14ac:dyDescent="0.25">
      <c r="A92" s="36" t="s">
        <v>167</v>
      </c>
    </row>
    <row r="93" spans="1:1" x14ac:dyDescent="0.25">
      <c r="A93" s="36" t="s">
        <v>168</v>
      </c>
    </row>
    <row r="95" spans="1:1" ht="15.75" customHeight="1" x14ac:dyDescent="0.25">
      <c r="A95" s="47" t="s">
        <v>169</v>
      </c>
    </row>
    <row r="96" spans="1:1" ht="15.75" customHeight="1" x14ac:dyDescent="0.25">
      <c r="A96" s="36" t="s">
        <v>170</v>
      </c>
    </row>
    <row r="97" spans="1:1" ht="15.75" customHeight="1" x14ac:dyDescent="0.25">
      <c r="A97" s="36" t="s">
        <v>171</v>
      </c>
    </row>
    <row r="98" spans="1:1" x14ac:dyDescent="0.25">
      <c r="A98" s="36" t="s">
        <v>172</v>
      </c>
    </row>
    <row r="99" spans="1:1" x14ac:dyDescent="0.25">
      <c r="A99" s="36" t="s">
        <v>173</v>
      </c>
    </row>
    <row r="100" spans="1:1" x14ac:dyDescent="0.25">
      <c r="A100" s="36" t="s">
        <v>174</v>
      </c>
    </row>
    <row r="101" spans="1:1" x14ac:dyDescent="0.25">
      <c r="A101" s="36" t="s">
        <v>175</v>
      </c>
    </row>
    <row r="102" spans="1:1" x14ac:dyDescent="0.25">
      <c r="A102" s="36" t="s">
        <v>176</v>
      </c>
    </row>
    <row r="104" spans="1:1" x14ac:dyDescent="0.25">
      <c r="A104" s="36" t="s">
        <v>188</v>
      </c>
    </row>
    <row r="105" spans="1:1" x14ac:dyDescent="0.25">
      <c r="A105" t="s">
        <v>189</v>
      </c>
    </row>
  </sheetData>
  <mergeCells count="6">
    <mergeCell ref="A1:N1"/>
    <mergeCell ref="A79:O80"/>
    <mergeCell ref="A44:N44"/>
    <mergeCell ref="A75:C75"/>
    <mergeCell ref="A76:C76"/>
    <mergeCell ref="A74:C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D14B-C761-4088-A340-3702F0F518C2}">
  <dimension ref="A1:H22"/>
  <sheetViews>
    <sheetView workbookViewId="0">
      <selection activeCell="A4" sqref="A4"/>
    </sheetView>
  </sheetViews>
  <sheetFormatPr defaultRowHeight="15" x14ac:dyDescent="0.25"/>
  <cols>
    <col min="4" max="4" width="13.28515625" customWidth="1"/>
    <col min="5" max="5" width="12.42578125" customWidth="1"/>
    <col min="6" max="6" width="16.5703125" customWidth="1"/>
    <col min="8" max="8" width="18.140625" customWidth="1"/>
  </cols>
  <sheetData>
    <row r="1" spans="1:8" ht="24" x14ac:dyDescent="0.25">
      <c r="A1" s="35" t="s">
        <v>155</v>
      </c>
    </row>
    <row r="3" spans="1:8" ht="18" x14ac:dyDescent="0.25">
      <c r="A3" s="47" t="s">
        <v>178</v>
      </c>
      <c r="D3" s="2"/>
      <c r="E3" s="2"/>
      <c r="F3" s="2"/>
      <c r="G3" s="2"/>
      <c r="H3" s="2"/>
    </row>
    <row r="4" spans="1:8" x14ac:dyDescent="0.25">
      <c r="A4" t="s">
        <v>179</v>
      </c>
      <c r="D4" s="1"/>
      <c r="E4" s="1"/>
      <c r="F4" s="1"/>
      <c r="G4" s="1"/>
      <c r="H4" s="1"/>
    </row>
    <row r="5" spans="1:8" x14ac:dyDescent="0.25">
      <c r="D5" s="1"/>
      <c r="E5" s="1"/>
      <c r="F5" s="1"/>
      <c r="G5" s="1"/>
      <c r="H5" s="1"/>
    </row>
    <row r="6" spans="1:8" ht="18" x14ac:dyDescent="0.25">
      <c r="A6" s="47" t="s">
        <v>180</v>
      </c>
      <c r="D6" s="1"/>
      <c r="E6" s="1"/>
      <c r="F6" s="1"/>
      <c r="G6" s="1"/>
      <c r="H6" s="1"/>
    </row>
    <row r="7" spans="1:8" x14ac:dyDescent="0.25">
      <c r="A7" t="s">
        <v>181</v>
      </c>
      <c r="D7" s="1"/>
      <c r="E7" s="1"/>
      <c r="F7" s="1"/>
      <c r="G7" s="1"/>
      <c r="H7" s="1"/>
    </row>
    <row r="8" spans="1:8" x14ac:dyDescent="0.25">
      <c r="A8" s="36" t="s">
        <v>182</v>
      </c>
      <c r="D8" s="1"/>
      <c r="E8" s="1"/>
      <c r="F8" s="1"/>
      <c r="G8" s="1"/>
      <c r="H8" s="1"/>
    </row>
    <row r="9" spans="1:8" x14ac:dyDescent="0.25">
      <c r="A9" s="36" t="s">
        <v>183</v>
      </c>
    </row>
    <row r="10" spans="1:8" x14ac:dyDescent="0.25">
      <c r="A10" s="36" t="s">
        <v>184</v>
      </c>
    </row>
    <row r="11" spans="1:8" x14ac:dyDescent="0.25">
      <c r="A11" s="36" t="s">
        <v>185</v>
      </c>
    </row>
    <row r="12" spans="1:8" x14ac:dyDescent="0.25">
      <c r="A12" s="36" t="s">
        <v>186</v>
      </c>
    </row>
    <row r="14" spans="1:8" x14ac:dyDescent="0.25">
      <c r="D14" s="19" t="s">
        <v>96</v>
      </c>
      <c r="E14" s="19" t="s">
        <v>1</v>
      </c>
      <c r="F14" s="19" t="s">
        <v>18</v>
      </c>
      <c r="G14" s="19" t="s">
        <v>99</v>
      </c>
      <c r="H14" s="19" t="s">
        <v>187</v>
      </c>
    </row>
    <row r="15" spans="1:8" x14ac:dyDescent="0.25">
      <c r="D15" s="9" t="s">
        <v>100</v>
      </c>
      <c r="E15" s="9" t="s">
        <v>4</v>
      </c>
      <c r="F15" s="9">
        <v>5</v>
      </c>
      <c r="G15" s="9">
        <v>50000</v>
      </c>
      <c r="H15" s="9">
        <v>8000</v>
      </c>
    </row>
    <row r="16" spans="1:8" x14ac:dyDescent="0.25">
      <c r="D16" s="9" t="s">
        <v>102</v>
      </c>
      <c r="E16" s="9" t="s">
        <v>5</v>
      </c>
      <c r="F16" s="9">
        <v>25</v>
      </c>
      <c r="G16" s="9">
        <v>3500</v>
      </c>
      <c r="H16" s="9">
        <v>700</v>
      </c>
    </row>
    <row r="17" spans="4:8" x14ac:dyDescent="0.25">
      <c r="D17" s="9" t="s">
        <v>104</v>
      </c>
      <c r="E17" s="9" t="s">
        <v>6</v>
      </c>
      <c r="F17" s="9">
        <v>15</v>
      </c>
      <c r="G17" s="9">
        <v>6000</v>
      </c>
      <c r="H17" s="9">
        <v>1200</v>
      </c>
    </row>
    <row r="18" spans="4:8" x14ac:dyDescent="0.25">
      <c r="D18" s="9" t="s">
        <v>105</v>
      </c>
      <c r="E18" s="9" t="s">
        <v>7</v>
      </c>
      <c r="F18" s="9">
        <v>8</v>
      </c>
      <c r="G18" s="9">
        <v>28000</v>
      </c>
      <c r="H18" s="9">
        <v>5000</v>
      </c>
    </row>
    <row r="19" spans="4:8" x14ac:dyDescent="0.25">
      <c r="D19" s="9" t="s">
        <v>106</v>
      </c>
      <c r="E19" s="9" t="s">
        <v>26</v>
      </c>
      <c r="F19" s="9">
        <v>4</v>
      </c>
      <c r="G19" s="9">
        <v>18000</v>
      </c>
      <c r="H19" s="9">
        <v>3200</v>
      </c>
    </row>
    <row r="20" spans="4:8" x14ac:dyDescent="0.25">
      <c r="D20" s="9" t="s">
        <v>107</v>
      </c>
      <c r="E20" s="9" t="s">
        <v>28</v>
      </c>
      <c r="F20" s="9">
        <v>10</v>
      </c>
      <c r="G20" s="9">
        <v>9000</v>
      </c>
      <c r="H20" s="9">
        <v>1500</v>
      </c>
    </row>
    <row r="21" spans="4:8" x14ac:dyDescent="0.25">
      <c r="D21" s="9" t="s">
        <v>108</v>
      </c>
      <c r="E21" s="9" t="s">
        <v>41</v>
      </c>
      <c r="F21" s="9">
        <v>12</v>
      </c>
      <c r="G21" s="9">
        <v>12000</v>
      </c>
      <c r="H21" s="9">
        <v>2500</v>
      </c>
    </row>
    <row r="22" spans="4:8" x14ac:dyDescent="0.25">
      <c r="D22" s="9" t="s">
        <v>109</v>
      </c>
      <c r="E22" s="9" t="s">
        <v>32</v>
      </c>
      <c r="F22" s="9">
        <v>6</v>
      </c>
      <c r="G22" s="9">
        <v>24000</v>
      </c>
      <c r="H22" s="9">
        <v>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A362-68B4-43EE-A3F0-DB9B638DAF96}">
  <dimension ref="C2:G10"/>
  <sheetViews>
    <sheetView workbookViewId="0">
      <selection activeCell="C2" sqref="C2:G2"/>
    </sheetView>
  </sheetViews>
  <sheetFormatPr defaultRowHeight="15" x14ac:dyDescent="0.25"/>
  <cols>
    <col min="3" max="3" width="12.42578125" customWidth="1"/>
    <col min="4" max="4" width="14.140625" customWidth="1"/>
  </cols>
  <sheetData>
    <row r="2" spans="3:7" x14ac:dyDescent="0.25">
      <c r="C2" s="19" t="s">
        <v>96</v>
      </c>
      <c r="D2" s="19" t="s">
        <v>1</v>
      </c>
      <c r="E2" s="19" t="s">
        <v>18</v>
      </c>
      <c r="F2" s="19" t="s">
        <v>99</v>
      </c>
      <c r="G2" s="19" t="s">
        <v>187</v>
      </c>
    </row>
    <row r="3" spans="3:7" x14ac:dyDescent="0.25">
      <c r="C3" s="9" t="s">
        <v>100</v>
      </c>
      <c r="D3" s="9" t="s">
        <v>4</v>
      </c>
      <c r="E3" s="9">
        <v>4</v>
      </c>
      <c r="F3" s="9">
        <v>45000</v>
      </c>
      <c r="G3" s="9">
        <v>7000</v>
      </c>
    </row>
    <row r="4" spans="3:7" x14ac:dyDescent="0.25">
      <c r="C4" s="9" t="s">
        <v>102</v>
      </c>
      <c r="D4" s="9" t="s">
        <v>5</v>
      </c>
      <c r="E4" s="9">
        <v>30</v>
      </c>
      <c r="F4" s="9">
        <v>4200</v>
      </c>
      <c r="G4" s="9">
        <v>800</v>
      </c>
    </row>
    <row r="5" spans="3:7" x14ac:dyDescent="0.25">
      <c r="C5" s="9" t="s">
        <v>104</v>
      </c>
      <c r="D5" s="9" t="s">
        <v>6</v>
      </c>
      <c r="E5" s="9">
        <v>12</v>
      </c>
      <c r="F5" s="9">
        <v>5500</v>
      </c>
      <c r="G5" s="9">
        <v>1000</v>
      </c>
    </row>
    <row r="6" spans="3:7" x14ac:dyDescent="0.25">
      <c r="C6" s="9" t="s">
        <v>105</v>
      </c>
      <c r="D6" s="9" t="s">
        <v>7</v>
      </c>
      <c r="E6" s="9">
        <v>9</v>
      </c>
      <c r="F6" s="9">
        <v>30000</v>
      </c>
      <c r="G6" s="9">
        <v>5500</v>
      </c>
    </row>
    <row r="7" spans="3:7" x14ac:dyDescent="0.25">
      <c r="C7" s="9" t="s">
        <v>106</v>
      </c>
      <c r="D7" s="9" t="s">
        <v>26</v>
      </c>
      <c r="E7" s="9">
        <v>5</v>
      </c>
      <c r="F7" s="9">
        <v>20000</v>
      </c>
      <c r="G7" s="9">
        <v>3500</v>
      </c>
    </row>
    <row r="8" spans="3:7" x14ac:dyDescent="0.25">
      <c r="C8" s="9" t="s">
        <v>107</v>
      </c>
      <c r="D8" s="9" t="s">
        <v>28</v>
      </c>
      <c r="E8" s="9">
        <v>8</v>
      </c>
      <c r="F8" s="9">
        <v>8500</v>
      </c>
      <c r="G8" s="9">
        <v>1400</v>
      </c>
    </row>
    <row r="9" spans="3:7" x14ac:dyDescent="0.25">
      <c r="C9" s="9" t="s">
        <v>108</v>
      </c>
      <c r="D9" s="9" t="s">
        <v>41</v>
      </c>
      <c r="E9" s="9">
        <v>10</v>
      </c>
      <c r="F9" s="9">
        <v>11000</v>
      </c>
      <c r="G9" s="9">
        <v>2200</v>
      </c>
    </row>
    <row r="10" spans="3:7" x14ac:dyDescent="0.25">
      <c r="C10" s="9" t="s">
        <v>109</v>
      </c>
      <c r="D10" s="9" t="s">
        <v>32</v>
      </c>
      <c r="E10" s="9">
        <v>7</v>
      </c>
      <c r="F10" s="9">
        <v>26000</v>
      </c>
      <c r="G10" s="9">
        <v>4800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FD17-0433-48D5-8AC1-7FCF493C6050}">
  <dimension ref="C2:G10"/>
  <sheetViews>
    <sheetView workbookViewId="0">
      <selection activeCell="E16" sqref="E16"/>
    </sheetView>
  </sheetViews>
  <sheetFormatPr defaultRowHeight="15" x14ac:dyDescent="0.25"/>
  <cols>
    <col min="3" max="3" width="11.85546875" customWidth="1"/>
    <col min="4" max="4" width="17.5703125" customWidth="1"/>
  </cols>
  <sheetData>
    <row r="2" spans="3:7" x14ac:dyDescent="0.25">
      <c r="C2" s="19" t="s">
        <v>96</v>
      </c>
      <c r="D2" s="19" t="s">
        <v>1</v>
      </c>
      <c r="E2" s="19" t="s">
        <v>18</v>
      </c>
      <c r="F2" s="19" t="s">
        <v>99</v>
      </c>
      <c r="G2" s="19" t="s">
        <v>187</v>
      </c>
    </row>
    <row r="3" spans="3:7" x14ac:dyDescent="0.25">
      <c r="C3" s="9" t="s">
        <v>100</v>
      </c>
      <c r="D3" s="9" t="s">
        <v>4</v>
      </c>
      <c r="E3" s="9">
        <v>6</v>
      </c>
      <c r="F3" s="9">
        <v>55000</v>
      </c>
      <c r="G3" s="9">
        <v>9000</v>
      </c>
    </row>
    <row r="4" spans="3:7" x14ac:dyDescent="0.25">
      <c r="C4" s="9" t="s">
        <v>102</v>
      </c>
      <c r="D4" s="9" t="s">
        <v>5</v>
      </c>
      <c r="E4" s="9">
        <v>28</v>
      </c>
      <c r="F4" s="9">
        <v>3800</v>
      </c>
      <c r="G4" s="9">
        <v>750</v>
      </c>
    </row>
    <row r="5" spans="3:7" x14ac:dyDescent="0.25">
      <c r="C5" s="9" t="s">
        <v>104</v>
      </c>
      <c r="D5" s="9" t="s">
        <v>6</v>
      </c>
      <c r="E5" s="9">
        <v>18</v>
      </c>
      <c r="F5" s="9">
        <v>7000</v>
      </c>
      <c r="G5" s="9">
        <v>1300</v>
      </c>
    </row>
    <row r="6" spans="3:7" x14ac:dyDescent="0.25">
      <c r="C6" s="9" t="s">
        <v>105</v>
      </c>
      <c r="D6" s="9" t="s">
        <v>7</v>
      </c>
      <c r="E6" s="9">
        <v>7</v>
      </c>
      <c r="F6" s="9">
        <v>25000</v>
      </c>
      <c r="G6" s="9">
        <v>4800</v>
      </c>
    </row>
    <row r="7" spans="3:7" x14ac:dyDescent="0.25">
      <c r="C7" s="9" t="s">
        <v>106</v>
      </c>
      <c r="D7" s="9" t="s">
        <v>26</v>
      </c>
      <c r="E7" s="9">
        <v>6</v>
      </c>
      <c r="F7" s="9">
        <v>22000</v>
      </c>
      <c r="G7" s="9">
        <v>3800</v>
      </c>
    </row>
    <row r="8" spans="3:7" x14ac:dyDescent="0.25">
      <c r="C8" s="9" t="s">
        <v>107</v>
      </c>
      <c r="D8" s="9" t="s">
        <v>28</v>
      </c>
      <c r="E8" s="9">
        <v>12</v>
      </c>
      <c r="F8" s="9">
        <v>10000</v>
      </c>
      <c r="G8" s="9">
        <v>1800</v>
      </c>
    </row>
    <row r="9" spans="3:7" x14ac:dyDescent="0.25">
      <c r="C9" s="9" t="s">
        <v>108</v>
      </c>
      <c r="D9" s="9" t="s">
        <v>41</v>
      </c>
      <c r="E9" s="9">
        <v>15</v>
      </c>
      <c r="F9" s="9">
        <v>13500</v>
      </c>
      <c r="G9" s="9">
        <v>2700</v>
      </c>
    </row>
    <row r="10" spans="3:7" x14ac:dyDescent="0.25">
      <c r="C10" s="9" t="s">
        <v>109</v>
      </c>
      <c r="D10" s="9" t="s">
        <v>32</v>
      </c>
      <c r="E10" s="9">
        <v>8</v>
      </c>
      <c r="F10" s="9">
        <v>28000</v>
      </c>
      <c r="G10" s="9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0812-4090-4C02-BA54-639B7A8F9C82}">
  <dimension ref="A1"/>
  <sheetViews>
    <sheetView tabSelected="1" workbookViewId="0">
      <selection activeCell="E1" sqref="E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Lecture1</vt:lpstr>
      <vt:lpstr>Lectue2</vt:lpstr>
      <vt:lpstr>Mumbai Branch</vt:lpstr>
      <vt:lpstr>Delhi Branch</vt:lpstr>
      <vt:lpstr>Pune Branch</vt:lpstr>
      <vt:lpstr>Summary Sheet (After Consolidat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2026-07-14T10:36:28Z</dcterms:created>
  <dcterms:modified xsi:type="dcterms:W3CDTF">2026-07-15T13:30:54Z</dcterms:modified>
</cp:coreProperties>
</file>