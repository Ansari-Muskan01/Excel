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D04C9AF-F325-49E8-BFDE-E21A0EA9C3F7}" xr6:coauthVersionLast="47" xr6:coauthVersionMax="47" xr10:uidLastSave="{00000000-0000-0000-0000-000000000000}"/>
  <bookViews>
    <workbookView xWindow="-120" yWindow="-120" windowWidth="20730" windowHeight="11160" xr2:uid="{7A6CE73D-6B9E-4303-8659-60CAF86E1491}"/>
  </bookViews>
  <sheets>
    <sheet name="IF Funtion" sheetId="1" r:id="rId1"/>
    <sheet name="Nested IF" sheetId="3" r:id="rId2"/>
    <sheet name="IF Error" sheetId="2" r:id="rId3"/>
    <sheet name="Logical Operators(AND, OR, NOT)" sheetId="4" r:id="rId4"/>
    <sheet name="OR" sheetId="5" r:id="rId5"/>
    <sheet name="NO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2" l="1"/>
  <c r="T45" i="6"/>
  <c r="T46" i="6"/>
  <c r="T47" i="6"/>
  <c r="T48" i="6"/>
  <c r="T49" i="6"/>
  <c r="T50" i="6"/>
  <c r="T51" i="6"/>
  <c r="T52" i="6"/>
  <c r="T53" i="6"/>
  <c r="T44" i="6"/>
  <c r="J45" i="6"/>
  <c r="J46" i="6"/>
  <c r="J47" i="6"/>
  <c r="J48" i="6"/>
  <c r="J49" i="6"/>
  <c r="J50" i="6"/>
  <c r="J51" i="6"/>
  <c r="J52" i="6"/>
  <c r="J53" i="6"/>
  <c r="J44" i="6"/>
  <c r="T27" i="6"/>
  <c r="T28" i="6"/>
  <c r="T29" i="6"/>
  <c r="T30" i="6"/>
  <c r="T31" i="6"/>
  <c r="T32" i="6"/>
  <c r="T33" i="6"/>
  <c r="T34" i="6"/>
  <c r="T35" i="6"/>
  <c r="T26" i="6"/>
  <c r="J27" i="6"/>
  <c r="J28" i="6"/>
  <c r="J29" i="6"/>
  <c r="J30" i="6"/>
  <c r="J31" i="6"/>
  <c r="J32" i="6"/>
  <c r="J33" i="6"/>
  <c r="J34" i="6"/>
  <c r="J35" i="6"/>
  <c r="J26" i="6"/>
  <c r="U39" i="4"/>
  <c r="U40" i="4"/>
  <c r="U41" i="4"/>
  <c r="U42" i="4"/>
  <c r="U43" i="4"/>
  <c r="U44" i="4"/>
  <c r="U45" i="4"/>
  <c r="U46" i="4"/>
  <c r="U47" i="4"/>
  <c r="U38" i="4"/>
  <c r="J39" i="4"/>
  <c r="J40" i="4"/>
  <c r="J41" i="4"/>
  <c r="J42" i="4"/>
  <c r="J43" i="4"/>
  <c r="J44" i="4"/>
  <c r="J45" i="4"/>
  <c r="J46" i="4"/>
  <c r="J47" i="4"/>
  <c r="J38" i="4"/>
  <c r="I22" i="2"/>
  <c r="G19" i="2"/>
  <c r="J17" i="2"/>
  <c r="G16" i="2"/>
  <c r="G14" i="2"/>
  <c r="G15" i="2"/>
  <c r="D89" i="2"/>
  <c r="D90" i="2"/>
  <c r="D91" i="2"/>
  <c r="D88" i="2"/>
  <c r="D81" i="2"/>
  <c r="D82" i="2"/>
  <c r="D83" i="2"/>
  <c r="E69" i="2"/>
  <c r="E70" i="2"/>
  <c r="E68" i="2"/>
  <c r="E62" i="2"/>
  <c r="E63" i="2"/>
  <c r="E61" i="2"/>
  <c r="E54" i="1"/>
  <c r="E48" i="2"/>
  <c r="E47" i="2"/>
  <c r="E46" i="2"/>
  <c r="E45" i="2"/>
  <c r="E37" i="2"/>
  <c r="E36" i="2"/>
  <c r="E35" i="2"/>
  <c r="E34" i="2"/>
</calcChain>
</file>

<file path=xl/sharedStrings.xml><?xml version="1.0" encoding="utf-8"?>
<sst xmlns="http://schemas.openxmlformats.org/spreadsheetml/2006/main" count="1303" uniqueCount="325">
  <si>
    <t>IF Function</t>
  </si>
  <si>
    <t>Definition : The IF Function is a logical function that checks whether a condition is TRUE or FALSE.</t>
  </si>
  <si>
    <t>Syntax : =IF(logical_test, value_if_true, value_if_false)</t>
  </si>
  <si>
    <t>Explanation of Arguments</t>
  </si>
  <si>
    <t>IF</t>
  </si>
  <si>
    <t>Argument</t>
  </si>
  <si>
    <t>Meaning</t>
  </si>
  <si>
    <t>logical_test</t>
  </si>
  <si>
    <t>value_if_true</t>
  </si>
  <si>
    <t>value_if_false</t>
  </si>
  <si>
    <t>IFERROR</t>
  </si>
  <si>
    <t>IFERROR Function : The IFERROR Function checks whether a formula returns an error.</t>
  </si>
  <si>
    <t>If there is no error → Excel shows the original result.</t>
  </si>
  <si>
    <t>If there is an error → Excel shows a custom message or value.</t>
  </si>
  <si>
    <t>Why Do We Use IFERROR?</t>
  </si>
  <si>
    <t xml:space="preserve">Sometimes formulas return errors like : #DIV/0! , #N/A , #VALUE! , #NAME? , #REF! </t>
  </si>
  <si>
    <t>These errors make reports look unprofessional.</t>
  </si>
  <si>
    <t>IFERROR replaces them with meaningful output.</t>
  </si>
  <si>
    <t>Error</t>
  </si>
  <si>
    <t>Dividing by zero</t>
  </si>
  <si>
    <t>Value not available</t>
  </si>
  <si>
    <t>Wrong data type</t>
  </si>
  <si>
    <t>Invalid cell reference</t>
  </si>
  <si>
    <t>Incorrect function or range name</t>
  </si>
  <si>
    <t>Invalid numeric value</t>
  </si>
  <si>
    <t>Incorrect range intersection</t>
  </si>
  <si>
    <t>Syntax :  =IFERROR(value, value_if_error)</t>
  </si>
  <si>
    <t>value</t>
  </si>
  <si>
    <t>Formula to evaluate</t>
  </si>
  <si>
    <t>value_if_error</t>
  </si>
  <si>
    <t>Value displayed if an error occurs</t>
  </si>
  <si>
    <t>EXAMPLE</t>
  </si>
  <si>
    <t>Product</t>
  </si>
  <si>
    <t>Total Sales (₹)</t>
  </si>
  <si>
    <t>Quantity Sold</t>
  </si>
  <si>
    <t>Sales Per Unit</t>
  </si>
  <si>
    <t>Hint : Total Sales / Quantity Sold</t>
  </si>
  <si>
    <t>Laptop</t>
  </si>
  <si>
    <t>Mouse</t>
  </si>
  <si>
    <t>Keyboard</t>
  </si>
  <si>
    <t>Monitor</t>
  </si>
  <si>
    <t>With IFERROR</t>
  </si>
  <si>
    <t>Comparison Operators</t>
  </si>
  <si>
    <t>Definition : Comparison operators are symbols used to compare two values. They return either TRUE or FALSE.</t>
  </si>
  <si>
    <t>Common Comparison Operators</t>
  </si>
  <si>
    <t>Operator</t>
  </si>
  <si>
    <t>Example</t>
  </si>
  <si>
    <t>Result</t>
  </si>
  <si>
    <t>=</t>
  </si>
  <si>
    <t>Equal To</t>
  </si>
  <si>
    <t>10=10</t>
  </si>
  <si>
    <t>&gt;</t>
  </si>
  <si>
    <t>Greater Than</t>
  </si>
  <si>
    <t>20&gt;15</t>
  </si>
  <si>
    <t>&lt;</t>
  </si>
  <si>
    <t>Less Than</t>
  </si>
  <si>
    <t>10&lt;8</t>
  </si>
  <si>
    <t>&gt;=</t>
  </si>
  <si>
    <t>Greater Than or Equal To</t>
  </si>
  <si>
    <t>50&gt;=50</t>
  </si>
  <si>
    <t>&lt;=</t>
  </si>
  <si>
    <t>Less Than or Equal To</t>
  </si>
  <si>
    <t>30&lt;=25</t>
  </si>
  <si>
    <t>&lt;&gt;</t>
  </si>
  <si>
    <t>Not Equal To</t>
  </si>
  <si>
    <t>100&lt;&gt;90</t>
  </si>
  <si>
    <t>Number1</t>
  </si>
  <si>
    <t>Number2</t>
  </si>
  <si>
    <t>Employee ID</t>
  </si>
  <si>
    <t>Employee Name</t>
  </si>
  <si>
    <t>Sales (₹)</t>
  </si>
  <si>
    <t>EMP101</t>
  </si>
  <si>
    <t>Rahul</t>
  </si>
  <si>
    <t>EMP102</t>
  </si>
  <si>
    <t>Priya</t>
  </si>
  <si>
    <t>EMP103</t>
  </si>
  <si>
    <t>Aman</t>
  </si>
  <si>
    <t>EMP104</t>
  </si>
  <si>
    <t>Neha</t>
  </si>
  <si>
    <t>EMP105</t>
  </si>
  <si>
    <t>Ravi</t>
  </si>
  <si>
    <t>EMP106</t>
  </si>
  <si>
    <t>Simran</t>
  </si>
  <si>
    <t>EMP107</t>
  </si>
  <si>
    <t>Karan</t>
  </si>
  <si>
    <t>EMP108</t>
  </si>
  <si>
    <t>Meera</t>
  </si>
  <si>
    <t>EMP109</t>
  </si>
  <si>
    <t>Arjun</t>
  </si>
  <si>
    <t>EMP110</t>
  </si>
  <si>
    <t>Pooja</t>
  </si>
  <si>
    <r>
      <t>Scenario:</t>
    </r>
    <r>
      <rPr>
        <sz val="11"/>
        <color theme="1"/>
        <rFont val="Aptos Narrow"/>
        <family val="2"/>
        <scheme val="minor"/>
      </rPr>
      <t xml:space="preserve"> The company gives a </t>
    </r>
    <r>
      <rPr>
        <b/>
        <sz val="11"/>
        <color theme="1"/>
        <rFont val="Aptos Narrow"/>
        <family val="2"/>
        <scheme val="minor"/>
      </rPr>
      <t>Sales Bonus</t>
    </r>
    <r>
      <rPr>
        <sz val="11"/>
        <color theme="1"/>
        <rFont val="Aptos Narrow"/>
        <family val="2"/>
        <scheme val="minor"/>
      </rPr>
      <t xml:space="preserve"> only to employees whose sales are </t>
    </r>
    <r>
      <rPr>
        <b/>
        <sz val="11"/>
        <color theme="1"/>
        <rFont val="Aptos Narrow"/>
        <family val="2"/>
        <scheme val="minor"/>
      </rPr>
      <t>₹50,000 or more</t>
    </r>
    <r>
      <rPr>
        <sz val="11"/>
        <color theme="1"/>
        <rFont val="Aptos Narrow"/>
        <family val="2"/>
        <scheme val="minor"/>
      </rPr>
      <t>.</t>
    </r>
  </si>
  <si>
    <r>
      <t>Task:</t>
    </r>
    <r>
      <rPr>
        <sz val="11"/>
        <color theme="1"/>
        <rFont val="Aptos Narrow"/>
        <family val="2"/>
        <scheme val="minor"/>
      </rPr>
      <t xml:space="preserve"> Display </t>
    </r>
    <r>
      <rPr>
        <b/>
        <sz val="11"/>
        <color theme="1"/>
        <rFont val="Aptos Narrow"/>
        <family val="2"/>
        <scheme val="minor"/>
      </rPr>
      <t>"Eligible"</t>
    </r>
    <r>
      <rPr>
        <sz val="11"/>
        <color theme="1"/>
        <rFont val="Aptos Narrow"/>
        <family val="2"/>
        <scheme val="minor"/>
      </rPr>
      <t xml:space="preserve"> if the Sales are </t>
    </r>
    <r>
      <rPr>
        <b/>
        <sz val="11"/>
        <color theme="1"/>
        <rFont val="Aptos Narrow"/>
        <family val="2"/>
        <scheme val="minor"/>
      </rPr>
      <t>greater than or equal to ₹50,000</t>
    </r>
    <r>
      <rPr>
        <sz val="11"/>
        <color theme="1"/>
        <rFont val="Aptos Narrow"/>
        <family val="2"/>
        <scheme val="minor"/>
      </rPr>
      <t xml:space="preserve">; otherwise display </t>
    </r>
    <r>
      <rPr>
        <b/>
        <sz val="11"/>
        <color theme="1"/>
        <rFont val="Aptos Narrow"/>
        <family val="2"/>
        <scheme val="minor"/>
      </rPr>
      <t>"Not Eligible"</t>
    </r>
    <r>
      <rPr>
        <sz val="11"/>
        <color theme="1"/>
        <rFont val="Aptos Narrow"/>
        <family val="2"/>
        <scheme val="minor"/>
      </rPr>
      <t>.</t>
    </r>
  </si>
  <si>
    <t>Student</t>
  </si>
  <si>
    <t>Marks</t>
  </si>
  <si>
    <r>
      <t xml:space="preserve">If a student scores </t>
    </r>
    <r>
      <rPr>
        <b/>
        <sz val="11"/>
        <color theme="1"/>
        <rFont val="Aptos Narrow"/>
        <family val="2"/>
        <scheme val="minor"/>
      </rPr>
      <t>40 or more marks</t>
    </r>
    <r>
      <rPr>
        <sz val="11"/>
        <color theme="1"/>
        <rFont val="Aptos Narrow"/>
        <family val="2"/>
        <scheme val="minor"/>
      </rPr>
      <t xml:space="preserve">, display </t>
    </r>
    <r>
      <rPr>
        <b/>
        <sz val="11"/>
        <color theme="1"/>
        <rFont val="Aptos Narrow"/>
        <family val="2"/>
        <scheme val="minor"/>
      </rPr>
      <t>"Pass"</t>
    </r>
    <r>
      <rPr>
        <sz val="11"/>
        <color theme="1"/>
        <rFont val="Aptos Narrow"/>
        <family val="2"/>
        <scheme val="minor"/>
      </rPr>
      <t xml:space="preserve">; otherwise display </t>
    </r>
    <r>
      <rPr>
        <b/>
        <sz val="11"/>
        <color theme="1"/>
        <rFont val="Aptos Narrow"/>
        <family val="2"/>
        <scheme val="minor"/>
      </rPr>
      <t>"Fail"</t>
    </r>
    <r>
      <rPr>
        <sz val="11"/>
        <color theme="1"/>
        <rFont val="Aptos Narrow"/>
        <family val="2"/>
        <scheme val="minor"/>
      </rPr>
      <t>.</t>
    </r>
  </si>
  <si>
    <t>Checks a condition.</t>
  </si>
  <si>
    <t>C2&gt;=50000</t>
  </si>
  <si>
    <t>Logical Test (Is Sales greater than or equal to ₹50,000?)</t>
  </si>
  <si>
    <t>"Eligible"</t>
  </si>
  <si>
    <t>Returned if the condition is TRUE.</t>
  </si>
  <si>
    <t>"Not Eligible"</t>
  </si>
  <si>
    <t>Returned if the condition is FALSE.</t>
  </si>
  <si>
    <t>Condition</t>
  </si>
  <si>
    <t>Nested IF Function</t>
  </si>
  <si>
    <t>Definition : Nested IF is an IF function placed inside another IF function to evaluate multiple conditions and return different results based on those conditions.</t>
  </si>
  <si>
    <t>Syntax :  =IF(condition1, value_if_true,
    IF(condition2, value_if_true,
       IF(condition3, value_if_true ,value_if_false)))</t>
  </si>
  <si>
    <t>Student ID</t>
  </si>
  <si>
    <t>Student Name</t>
  </si>
  <si>
    <t>Grade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</si>
  <si>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</si>
  <si>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</si>
  <si>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</si>
  <si>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</si>
  <si>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</si>
  <si>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</si>
  <si>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</si>
  <si>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</si>
  <si>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</si>
  <si>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</si>
  <si>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90 and Above</t>
  </si>
  <si>
    <t>A</t>
  </si>
  <si>
    <t>75 – 89</t>
  </si>
  <si>
    <t>B</t>
  </si>
  <si>
    <t>60 – 74</t>
  </si>
  <si>
    <t>C</t>
  </si>
  <si>
    <t>40 – 59</t>
  </si>
  <si>
    <t>D</t>
  </si>
  <si>
    <t>Below 40</t>
  </si>
  <si>
    <t>Fail</t>
  </si>
  <si>
    <t>Formula Breakdown</t>
  </si>
  <si>
    <t>Explanation</t>
  </si>
  <si>
    <t>IF(C2&gt;=90,"A",...)</t>
  </si>
  <si>
    <r>
      <t xml:space="preserve">If marks are 90 or above, return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</si>
  <si>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IF(C2&gt;=75,"B",...)</t>
  </si>
  <si>
    <t>Otherwise, check if marks are 75 or above.</t>
  </si>
  <si>
    <t>IF(C2&gt;=60,"C",...)</t>
  </si>
  <si>
    <t>Otherwise, check if marks are 60 or above.</t>
  </si>
  <si>
    <t>IF(C2&gt;=40,"D","Fail")</t>
  </si>
  <si>
    <r>
      <t xml:space="preserve">Otherwise, check if marks are 40 or above; if not, return </t>
    </r>
    <r>
      <rPr>
        <b/>
        <sz val="11"/>
        <color theme="1"/>
        <rFont val="Aptos Narrow"/>
        <family val="2"/>
        <scheme val="minor"/>
      </rPr>
      <t>Fail</t>
    </r>
    <r>
      <rPr>
        <sz val="11"/>
        <color theme="1"/>
        <rFont val="Aptos Narrow"/>
        <family val="2"/>
        <scheme val="minor"/>
      </rPr>
      <t>.</t>
    </r>
  </si>
  <si>
    <t xml:space="preserve">Formula </t>
  </si>
  <si>
    <t>Employee</t>
  </si>
  <si>
    <t>Rating</t>
  </si>
  <si>
    <t>90,000 and Above</t>
  </si>
  <si>
    <t>Excellent</t>
  </si>
  <si>
    <t>75,000 – 89,999</t>
  </si>
  <si>
    <t>Very Good</t>
  </si>
  <si>
    <t>60,000 – 74,999</t>
  </si>
  <si>
    <t>Good</t>
  </si>
  <si>
    <t>45,000 – 59,999</t>
  </si>
  <si>
    <t>Average</t>
  </si>
  <si>
    <t>Below 45,000</t>
  </si>
  <si>
    <t>Needs Improvement</t>
  </si>
  <si>
    <t>Purchase Amount (₹)</t>
  </si>
  <si>
    <t>Discount</t>
  </si>
  <si>
    <t>Printer</t>
  </si>
  <si>
    <t>SSD</t>
  </si>
  <si>
    <t>Webcam</t>
  </si>
  <si>
    <t>Speaker</t>
  </si>
  <si>
    <t>Headphones</t>
  </si>
  <si>
    <t>Pendrive</t>
  </si>
  <si>
    <t>80,000 and Above</t>
  </si>
  <si>
    <t>50,000 – 79,999</t>
  </si>
  <si>
    <t>20,000 – 49,999</t>
  </si>
  <si>
    <t>Below 20,000</t>
  </si>
  <si>
    <t>No Discount</t>
  </si>
  <si>
    <t>Product Discount</t>
  </si>
  <si>
    <t>Customer</t>
  </si>
  <si>
    <t>Total Purchase (₹)</t>
  </si>
  <si>
    <t>Membership</t>
  </si>
  <si>
    <t>1,00,000 and Above</t>
  </si>
  <si>
    <t>Platinum</t>
  </si>
  <si>
    <t>75,000 – 99,999</t>
  </si>
  <si>
    <t>Gold</t>
  </si>
  <si>
    <t>50,000 – 74,999</t>
  </si>
  <si>
    <t>Silver</t>
  </si>
  <si>
    <t>Below 50,000</t>
  </si>
  <si>
    <t>Bronze</t>
  </si>
  <si>
    <t>Grade Criteria</t>
  </si>
  <si>
    <t>Practice Question 1: Employee Performance Rating</t>
  </si>
  <si>
    <t>Performance Rating Criteria</t>
  </si>
  <si>
    <t>Practice Question 2: Product Discount</t>
  </si>
  <si>
    <t>Practice Question 3: Customer Membership</t>
  </si>
  <si>
    <t>Membership Criteria</t>
  </si>
  <si>
    <t>Logical Operators (AND, OR, NOT)</t>
  </si>
  <si>
    <t>1. AND Function</t>
  </si>
  <si>
    <t>Definition : The AND function returns TRUE only if all the specified conditions are TRUE. If any one condition is FALSE, the result is FALSE.</t>
  </si>
  <si>
    <t>Syntax : =AND(logical1, logical2, ...)</t>
  </si>
  <si>
    <t>Difference Between AND, OR, and NOT</t>
  </si>
  <si>
    <t>Function</t>
  </si>
  <si>
    <t>Returns TRUE When</t>
  </si>
  <si>
    <t>AND</t>
  </si>
  <si>
    <r>
      <t>All conditions</t>
    </r>
    <r>
      <rPr>
        <sz val="11"/>
        <color theme="1"/>
        <rFont val="Aptos Narrow"/>
        <family val="2"/>
        <scheme val="minor"/>
      </rPr>
      <t xml:space="preserve"> are TRUE</t>
    </r>
  </si>
  <si>
    <r>
      <t xml:space="preserve">Sales ≥ 50,000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Attendance ≥ 95%</t>
    </r>
  </si>
  <si>
    <t>OR</t>
  </si>
  <si>
    <r>
      <t>At least one condition</t>
    </r>
    <r>
      <rPr>
        <sz val="11"/>
        <color theme="1"/>
        <rFont val="Aptos Narrow"/>
        <family val="2"/>
        <scheme val="minor"/>
      </rPr>
      <t xml:space="preserve"> is TRUE</t>
    </r>
  </si>
  <si>
    <r>
      <t xml:space="preserve">Sports = Yes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Cultural = Yes</t>
    </r>
  </si>
  <si>
    <t>NOT</t>
  </si>
  <si>
    <t>Reverses the logical result</t>
  </si>
  <si>
    <t>NOT(TRUE) = FALSE</t>
  </si>
  <si>
    <t>2. OR Function</t>
  </si>
  <si>
    <t>Syntax : =OR(logical1, logical2, ...)</t>
  </si>
  <si>
    <t>3. NOT Function</t>
  </si>
  <si>
    <r>
      <t xml:space="preserve">Definition : The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function reverses a logical value. It changes </t>
    </r>
    <r>
      <rPr>
        <b/>
        <sz val="11"/>
        <color theme="1"/>
        <rFont val="Aptos Narrow"/>
        <family val="2"/>
        <scheme val="minor"/>
      </rPr>
      <t>TRUE to FALSE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FALSE to TRUE</t>
    </r>
    <r>
      <rPr>
        <sz val="11"/>
        <color theme="1"/>
        <rFont val="Aptos Narrow"/>
        <family val="2"/>
        <scheme val="minor"/>
      </rPr>
      <t>.</t>
    </r>
  </si>
  <si>
    <t>Syntax : =NOT(logical)</t>
  </si>
  <si>
    <t>Quantity</t>
  </si>
  <si>
    <t>Unit Price</t>
  </si>
  <si>
    <t>Total</t>
  </si>
  <si>
    <t>ABC</t>
  </si>
  <si>
    <t>Sales</t>
  </si>
  <si>
    <t>Bonus</t>
  </si>
  <si>
    <t>N/A</t>
  </si>
  <si>
    <t>Product Sales (IFERROR)</t>
  </si>
  <si>
    <t>Question:</t>
  </si>
  <si>
    <r>
      <t xml:space="preserve">A store has recorded the </t>
    </r>
    <r>
      <rPr>
        <b/>
        <sz val="11"/>
        <color theme="1"/>
        <rFont val="Aptos Narrow"/>
        <family val="2"/>
        <scheme val="minor"/>
      </rPr>
      <t>Quantity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Unit Price</t>
    </r>
    <r>
      <rPr>
        <sz val="11"/>
        <color theme="1"/>
        <rFont val="Aptos Narrow"/>
        <family val="2"/>
        <scheme val="minor"/>
      </rPr>
      <t xml:space="preserve"> of different products. Calculate the </t>
    </r>
    <r>
      <rPr>
        <b/>
        <sz val="11"/>
        <color theme="1"/>
        <rFont val="Aptos Narrow"/>
        <family val="2"/>
        <scheme val="minor"/>
      </rPr>
      <t>Total Amount</t>
    </r>
    <r>
      <rPr>
        <sz val="11"/>
        <color theme="1"/>
        <rFont val="Aptos Narrow"/>
        <family val="2"/>
        <scheme val="minor"/>
      </rPr>
      <t xml:space="preserve"> for each product. If the quantity or price contains invalid data, display </t>
    </r>
    <r>
      <rPr>
        <b/>
        <sz val="11"/>
        <color theme="1"/>
        <rFont val="Aptos Narrow"/>
        <family val="2"/>
        <scheme val="minor"/>
      </rPr>
      <t>"Invalid Input"</t>
    </r>
    <r>
      <rPr>
        <sz val="11"/>
        <color theme="1"/>
        <rFont val="Aptos Narrow"/>
        <family val="2"/>
        <scheme val="minor"/>
      </rPr>
      <t xml:space="preserve"> instead of an error</t>
    </r>
  </si>
  <si>
    <t>Formula (Without IFERROR):</t>
  </si>
  <si>
    <t>Formula (With IFERROR):</t>
  </si>
  <si>
    <t>Example 2: Employee Bonus (IF + IFERROR)</t>
  </si>
  <si>
    <r>
      <t xml:space="preserve">A company gives a </t>
    </r>
    <r>
      <rPr>
        <b/>
        <sz val="11"/>
        <color theme="1"/>
        <rFont val="Aptos Narrow"/>
        <family val="2"/>
        <scheme val="minor"/>
      </rPr>
      <t>10% bonus</t>
    </r>
    <r>
      <rPr>
        <sz val="11"/>
        <color theme="1"/>
        <rFont val="Aptos Narrow"/>
        <family val="2"/>
        <scheme val="minor"/>
      </rPr>
      <t xml:space="preserve"> to employees whose sales are </t>
    </r>
    <r>
      <rPr>
        <b/>
        <sz val="11"/>
        <color theme="1"/>
        <rFont val="Aptos Narrow"/>
        <family val="2"/>
        <scheme val="minor"/>
      </rPr>
      <t>₹50,000 or more</t>
    </r>
    <r>
      <rPr>
        <sz val="11"/>
        <color theme="1"/>
        <rFont val="Aptos Narrow"/>
        <family val="2"/>
        <scheme val="minor"/>
      </rPr>
      <t xml:space="preserve">. If the sales are less than ₹50,000, display </t>
    </r>
    <r>
      <rPr>
        <b/>
        <sz val="11"/>
        <color theme="1"/>
        <rFont val="Aptos Narrow"/>
        <family val="2"/>
        <scheme val="minor"/>
      </rPr>
      <t>"No Bonus"</t>
    </r>
    <r>
      <rPr>
        <sz val="11"/>
        <color theme="1"/>
        <rFont val="Aptos Narrow"/>
        <family val="2"/>
        <scheme val="minor"/>
      </rPr>
      <t xml:space="preserve">. If the sales value is invalid, display </t>
    </r>
    <r>
      <rPr>
        <b/>
        <sz val="11"/>
        <color theme="1"/>
        <rFont val="Aptos Narrow"/>
        <family val="2"/>
        <scheme val="minor"/>
      </rPr>
      <t>"Invalid Sales"</t>
    </r>
    <r>
      <rPr>
        <sz val="11"/>
        <color theme="1"/>
        <rFont val="Aptos Narrow"/>
        <family val="2"/>
        <scheme val="minor"/>
      </rPr>
      <t xml:space="preserve"> instead of an error.</t>
    </r>
  </si>
  <si>
    <t>Handling Errors Using IFERROR</t>
  </si>
  <si>
    <t>(No value required)</t>
  </si>
  <si>
    <t>Value1</t>
  </si>
  <si>
    <t>Value2</t>
  </si>
  <si>
    <t>ColumnA</t>
  </si>
  <si>
    <r>
      <t>A8+B8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(then delete column B)</t>
    </r>
  </si>
  <si>
    <t>Department</t>
  </si>
  <si>
    <t>Attendance %</t>
  </si>
  <si>
    <t>Target Achieved</t>
  </si>
  <si>
    <t>Work From Home</t>
  </si>
  <si>
    <t>Experience (Years)</t>
  </si>
  <si>
    <t>EMP001</t>
  </si>
  <si>
    <t>Aakash Sharma</t>
  </si>
  <si>
    <t>Yes</t>
  </si>
  <si>
    <t>No</t>
  </si>
  <si>
    <t>EMP002</t>
  </si>
  <si>
    <t>Priya Verma</t>
  </si>
  <si>
    <t>EMP003</t>
  </si>
  <si>
    <t>Amit Kumar</t>
  </si>
  <si>
    <t>Marketing</t>
  </si>
  <si>
    <t>EMP004</t>
  </si>
  <si>
    <t>Neha Singh</t>
  </si>
  <si>
    <t>HR</t>
  </si>
  <si>
    <t>EMP005</t>
  </si>
  <si>
    <t>Rahul Gupta</t>
  </si>
  <si>
    <t>EMP006</t>
  </si>
  <si>
    <t>Sneha Patel</t>
  </si>
  <si>
    <t>EMP007</t>
  </si>
  <si>
    <t>Arjun Mehta</t>
  </si>
  <si>
    <t>Finance</t>
  </si>
  <si>
    <t>EMP008</t>
  </si>
  <si>
    <t>Kavita Roy</t>
  </si>
  <si>
    <t>EMP009</t>
  </si>
  <si>
    <t>Mohit Jain</t>
  </si>
  <si>
    <t>EMP010</t>
  </si>
  <si>
    <t>Riya Khan</t>
  </si>
  <si>
    <r>
      <t>Q1.</t>
    </r>
    <r>
      <rPr>
        <sz val="11"/>
        <color theme="1"/>
        <rFont val="Aptos Narrow"/>
        <family val="2"/>
        <scheme val="minor"/>
      </rPr>
      <t xml:space="preserve"> Check whether an employee is eligible for a </t>
    </r>
    <r>
      <rPr>
        <b/>
        <sz val="11"/>
        <color theme="1"/>
        <rFont val="Aptos Narrow"/>
        <family val="2"/>
        <scheme val="minor"/>
      </rPr>
      <t>Performance Bonus</t>
    </r>
    <r>
      <rPr>
        <sz val="11"/>
        <color theme="1"/>
        <rFont val="Aptos Narrow"/>
        <family val="2"/>
        <scheme val="minor"/>
      </rPr>
      <t xml:space="preserve"> if:</t>
    </r>
  </si>
  <si>
    <t>Target Achieved = "Yes"</t>
  </si>
  <si>
    <t>Experience ≥ 3 years</t>
  </si>
  <si>
    <t>Performance Bonus</t>
  </si>
  <si>
    <t>Status</t>
  </si>
  <si>
    <r>
      <t>Q1.</t>
    </r>
    <r>
      <rPr>
        <sz val="11"/>
        <color theme="1"/>
        <rFont val="Aptos Narrow"/>
        <family val="2"/>
        <scheme val="minor"/>
      </rPr>
      <t xml:space="preserve"> Check if an employee is eligible for </t>
    </r>
    <r>
      <rPr>
        <b/>
        <sz val="11"/>
        <color theme="1"/>
        <rFont val="Aptos Narrow"/>
        <family val="2"/>
        <scheme val="minor"/>
      </rPr>
      <t>Recognition</t>
    </r>
    <r>
      <rPr>
        <sz val="11"/>
        <color theme="1"/>
        <rFont val="Aptos Narrow"/>
        <family val="2"/>
        <scheme val="minor"/>
      </rPr>
      <t xml:space="preserve"> if:</t>
    </r>
  </si>
  <si>
    <t>Sales ≥ ₹70,000</t>
  </si>
  <si>
    <t>OR Attendance ≥ 98%</t>
  </si>
  <si>
    <r>
      <t>Q2.</t>
    </r>
    <r>
      <rPr>
        <sz val="11"/>
        <color theme="1"/>
        <rFont val="Aptos Narrow"/>
        <family val="2"/>
        <scheme val="minor"/>
      </rPr>
      <t xml:space="preserve"> Check if an employee is working in:</t>
    </r>
  </si>
  <si>
    <t>Sales Department</t>
  </si>
  <si>
    <t>OR Marketing Department</t>
  </si>
  <si>
    <t>Department Check</t>
  </si>
  <si>
    <t>Definition :  The OR function returns TRUE if at least one condition is TRUE. It returns FALSE only when all conditions are FALSE.</t>
  </si>
  <si>
    <t>Definition : Logical Functions are used to check one or more conditions in Excel. They return either TRUE or FALSE based on the result of the condition</t>
  </si>
  <si>
    <t>Advantages of Logical Functions</t>
  </si>
  <si>
    <t>Check one or more conditions easily.</t>
  </si>
  <si>
    <r>
      <t xml:space="preserve">Return </t>
    </r>
    <r>
      <rPr>
        <b/>
        <sz val="11"/>
        <color theme="1"/>
        <rFont val="Aptos Narrow"/>
        <family val="2"/>
        <scheme val="minor"/>
      </rPr>
      <t>TRUE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FALSE</t>
    </r>
    <r>
      <rPr>
        <sz val="11"/>
        <color theme="1"/>
        <rFont val="Aptos Narrow"/>
        <family val="2"/>
        <scheme val="minor"/>
      </rPr>
      <t xml:space="preserve"> based on the condition.</t>
    </r>
  </si>
  <si>
    <t>Help in making decisions in Excel formulas.</t>
  </si>
  <si>
    <r>
      <t xml:space="preserve">Can be combined with the </t>
    </r>
    <r>
      <rPr>
        <b/>
        <sz val="11"/>
        <color theme="1"/>
        <rFont val="Aptos Narrow"/>
        <family val="2"/>
        <scheme val="minor"/>
      </rPr>
      <t>IF</t>
    </r>
    <r>
      <rPr>
        <sz val="11"/>
        <color theme="1"/>
        <rFont val="Aptos Narrow"/>
        <family val="2"/>
        <scheme val="minor"/>
      </rPr>
      <t xml:space="preserve"> function to return different results.</t>
    </r>
  </si>
  <si>
    <t>Reduce manual checking and save time.</t>
  </si>
  <si>
    <t>Improve the accuracy of calculations by automating logical decisions</t>
  </si>
  <si>
    <r>
      <t xml:space="preserve">These functions can also be combined with the </t>
    </r>
    <r>
      <rPr>
        <b/>
        <sz val="11"/>
        <color theme="1"/>
        <rFont val="Aptos Narrow"/>
        <family val="2"/>
        <scheme val="minor"/>
      </rPr>
      <t>IF</t>
    </r>
    <r>
      <rPr>
        <sz val="11"/>
        <color theme="1"/>
        <rFont val="Aptos Narrow"/>
        <family val="2"/>
        <scheme val="minor"/>
      </rPr>
      <t xml:space="preserve"> function to return different results based on the condition.</t>
    </r>
  </si>
  <si>
    <t>Sales ≥ ₹50,000 Attendance ≥ 95%</t>
  </si>
  <si>
    <t xml:space="preserve">Conditions: </t>
  </si>
  <si>
    <r>
      <t>Q2.</t>
    </r>
    <r>
      <rPr>
        <sz val="11"/>
        <color theme="1"/>
        <rFont val="Aptos Narrow"/>
        <family val="2"/>
        <scheme val="minor"/>
      </rPr>
      <t xml:space="preserve"> Check whether an employee satisfies both of the following conditions:</t>
    </r>
  </si>
  <si>
    <t>Using IF + AND</t>
  </si>
  <si>
    <t>Office Status</t>
  </si>
  <si>
    <t>Using IF + Not</t>
  </si>
  <si>
    <t>Target Status</t>
  </si>
  <si>
    <r>
      <t>AND</t>
    </r>
    <r>
      <rPr>
        <sz val="11"/>
        <color theme="1"/>
        <rFont val="Aptos Narrow"/>
        <family val="2"/>
        <scheme val="minor"/>
      </rPr>
      <t xml:space="preserve"> → Both conditions must be TRUE.</t>
    </r>
  </si>
  <si>
    <r>
      <t>OR</t>
    </r>
    <r>
      <rPr>
        <sz val="11"/>
        <color theme="1"/>
        <rFont val="Aptos Narrow"/>
        <family val="2"/>
        <scheme val="minor"/>
      </rPr>
      <t xml:space="preserve"> → At least one condition must be TRUE.</t>
    </r>
  </si>
  <si>
    <r>
      <t>NOT</t>
    </r>
    <r>
      <rPr>
        <sz val="11"/>
        <color theme="1"/>
        <rFont val="Aptos Narrow"/>
        <family val="2"/>
        <scheme val="minor"/>
      </rPr>
      <t xml:space="preserve"> → Reverses a single condition.</t>
    </r>
  </si>
  <si>
    <t>The condition or expression to be tested.</t>
  </si>
  <si>
    <t>The value returned when the condition is TRUE.</t>
  </si>
  <si>
    <t>The value returned when the condition is FALSE.</t>
  </si>
  <si>
    <t xml:space="preserve">Question 1 </t>
  </si>
  <si>
    <t xml:space="preserve">Question 2 </t>
  </si>
  <si>
    <t>Advantages of IF Function</t>
  </si>
  <si>
    <t>Checks whether a condition is TRUE or FALSE.</t>
  </si>
  <si>
    <t>Returns different results based on the condition.</t>
  </si>
  <si>
    <t>Reduces manual decision-making.</t>
  </si>
  <si>
    <t>Makes worksheets more dynamic and automated.</t>
  </si>
  <si>
    <r>
      <t xml:space="preserve">Can be combined with functions like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IFERROR</t>
    </r>
    <r>
      <rPr>
        <sz val="11"/>
        <color theme="1"/>
        <rFont val="Aptos Narrow"/>
        <family val="2"/>
        <scheme val="minor"/>
      </rPr>
      <t>.</t>
    </r>
  </si>
  <si>
    <t>When to Use IF Function</t>
  </si>
  <si>
    <t>Display different results based on a condition.</t>
  </si>
  <si>
    <t>Classify data (Pass/Fail, Eligible/Not Eligible).</t>
  </si>
  <si>
    <t>Validate data based on rules.</t>
  </si>
  <si>
    <t>Automate decision-making in Excel.</t>
  </si>
  <si>
    <t>Important Points</t>
  </si>
  <si>
    <t>The IF function checks only one condition at a time.</t>
  </si>
  <si>
    <r>
      <t xml:space="preserve">Text values must be enclosed in double quotes (e.g., </t>
    </r>
    <r>
      <rPr>
        <sz val="10"/>
        <color theme="1"/>
        <rFont val="Arial Unicode MS"/>
        <family val="2"/>
      </rPr>
      <t>"Pass"</t>
    </r>
    <r>
      <rPr>
        <sz val="11"/>
        <color theme="1"/>
        <rFont val="Aptos Narrow"/>
        <family val="2"/>
        <scheme val="minor"/>
      </rPr>
      <t>).</t>
    </r>
  </si>
  <si>
    <t>Numbers should not be enclosed in double quotes.</t>
  </si>
  <si>
    <r>
      <t xml:space="preserve">The logical test must return </t>
    </r>
    <r>
      <rPr>
        <b/>
        <sz val="11"/>
        <color theme="1"/>
        <rFont val="Aptos Narrow"/>
        <family val="2"/>
        <scheme val="minor"/>
      </rPr>
      <t>TRUE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FALSE</t>
    </r>
    <r>
      <rPr>
        <sz val="11"/>
        <color theme="1"/>
        <rFont val="Aptos Narrow"/>
        <family val="2"/>
        <scheme val="minor"/>
      </rPr>
      <t>.</t>
    </r>
  </si>
  <si>
    <t>IF can be nested or combined with logical functions.</t>
  </si>
  <si>
    <t>Example 1: Student Result (Pass / Fail / Distinction)</t>
  </si>
  <si>
    <t>Example 2: Student Grade Calculation</t>
  </si>
  <si>
    <r>
      <t>Scenario:</t>
    </r>
    <r>
      <rPr>
        <sz val="11"/>
        <color theme="1"/>
        <rFont val="Aptos Narrow"/>
        <family val="2"/>
        <scheme val="minor"/>
      </rPr>
      <t xml:space="preserve"> A school wants to categorize students based on their marks.</t>
    </r>
  </si>
  <si>
    <r>
      <t xml:space="preserve">Marks ≥ 75 → </t>
    </r>
    <r>
      <rPr>
        <b/>
        <sz val="11"/>
        <color theme="1"/>
        <rFont val="Aptos Narrow"/>
        <family val="2"/>
        <scheme val="minor"/>
      </rPr>
      <t>Distinction</t>
    </r>
  </si>
  <si>
    <r>
      <t xml:space="preserve">Marks ≥ 40 → </t>
    </r>
    <r>
      <rPr>
        <b/>
        <sz val="11"/>
        <color theme="1"/>
        <rFont val="Aptos Narrow"/>
        <family val="2"/>
        <scheme val="minor"/>
      </rPr>
      <t>Pass</t>
    </r>
  </si>
  <si>
    <r>
      <t xml:space="preserve">Marks &lt; 40 → </t>
    </r>
    <r>
      <rPr>
        <b/>
        <sz val="11"/>
        <color theme="1"/>
        <rFont val="Aptos Narrow"/>
        <family val="2"/>
        <scheme val="minor"/>
      </rPr>
      <t>Fail</t>
    </r>
  </si>
  <si>
    <t>Using IF + OR</t>
  </si>
  <si>
    <t>Q1. Check whether an employee is NOT Working From Home.</t>
  </si>
  <si>
    <t>This means:</t>
  </si>
  <si>
    <r>
      <t xml:space="preserve">If </t>
    </r>
    <r>
      <rPr>
        <b/>
        <sz val="11"/>
        <color theme="1"/>
        <rFont val="Aptos Narrow"/>
        <family val="2"/>
        <scheme val="minor"/>
      </rPr>
      <t>Work From Home = Yes</t>
    </r>
    <r>
      <rPr>
        <sz val="11"/>
        <color theme="1"/>
        <rFont val="Aptos Narrow"/>
        <family val="2"/>
        <scheme val="minor"/>
      </rPr>
      <t xml:space="preserve">, then the employee </t>
    </r>
    <r>
      <rPr>
        <b/>
        <sz val="11"/>
        <color theme="1"/>
        <rFont val="Aptos Narrow"/>
        <family val="2"/>
        <scheme val="minor"/>
      </rPr>
      <t>is working from home</t>
    </r>
    <r>
      <rPr>
        <sz val="11"/>
        <color theme="1"/>
        <rFont val="Aptos Narrow"/>
        <family val="2"/>
        <scheme val="minor"/>
      </rPr>
      <t>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</si>
  <si>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Work From Home = No</t>
    </r>
    <r>
      <rPr>
        <sz val="11"/>
        <color theme="1"/>
        <rFont val="Aptos Narrow"/>
        <family val="2"/>
        <scheme val="minor"/>
      </rPr>
      <t xml:space="preserve">, then the employee </t>
    </r>
    <r>
      <rPr>
        <b/>
        <sz val="11"/>
        <color theme="1"/>
        <rFont val="Aptos Narrow"/>
        <family val="2"/>
        <scheme val="minor"/>
      </rPr>
      <t>is NOT working from home</t>
    </r>
    <r>
      <rPr>
        <sz val="11"/>
        <color theme="1"/>
        <rFont val="Aptos Narrow"/>
        <family val="2"/>
        <scheme val="minor"/>
      </rPr>
      <t>.</t>
    </r>
  </si>
  <si>
    <t>Q2. Check whether an employee has NOT achieved the target.</t>
  </si>
  <si>
    <r>
      <t xml:space="preserve">If </t>
    </r>
    <r>
      <rPr>
        <b/>
        <sz val="11"/>
        <color theme="1"/>
        <rFont val="Aptos Narrow"/>
        <family val="2"/>
        <scheme val="minor"/>
      </rPr>
      <t>Target Achieved = Yes</t>
    </r>
    <r>
      <rPr>
        <sz val="11"/>
        <color theme="1"/>
        <rFont val="Aptos Narrow"/>
        <family val="2"/>
        <scheme val="minor"/>
      </rPr>
      <t xml:space="preserve">, then the employee </t>
    </r>
    <r>
      <rPr>
        <b/>
        <sz val="11"/>
        <color theme="1"/>
        <rFont val="Aptos Narrow"/>
        <family val="2"/>
        <scheme val="minor"/>
      </rPr>
      <t>has achieved the target</t>
    </r>
    <r>
      <rPr>
        <sz val="11"/>
        <color theme="1"/>
        <rFont val="Aptos Narrow"/>
        <family val="2"/>
        <scheme val="minor"/>
      </rPr>
      <t>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</si>
  <si>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Target Achieved = No</t>
    </r>
    <r>
      <rPr>
        <sz val="11"/>
        <color theme="1"/>
        <rFont val="Aptos Narrow"/>
        <family val="2"/>
        <scheme val="minor"/>
      </rPr>
      <t xml:space="preserve">, then the employee </t>
    </r>
    <r>
      <rPr>
        <b/>
        <sz val="11"/>
        <color theme="1"/>
        <rFont val="Aptos Narrow"/>
        <family val="2"/>
        <scheme val="minor"/>
      </rPr>
      <t>has NOT achieved the target</t>
    </r>
    <r>
      <rPr>
        <sz val="11"/>
        <color theme="1"/>
        <rFont val="Aptos Narrow"/>
        <family val="2"/>
        <scheme val="minor"/>
      </rPr>
      <t>.</t>
    </r>
  </si>
  <si>
    <r>
      <t>Hint: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Quantity × Unit Price</t>
    </r>
  </si>
  <si>
    <t>Hint: Check Sales amount and calculate 10% Bonus if Sales ≥ 50,000.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</si>
</sst>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1" fillId="0" borderId="0" xfId="0" applyFont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0" fontId="1" fillId="0" borderId="4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2" fillId="2" borderId="0" xfId="0" applyFont="1" applyFill="1"/>
    <xf numFmtId="0" fontId="0" fillId="0" borderId="0" xfId="0" applyAlignment="1">
      <alignment horizontal="left" wrapText="1"/>
    </xf>
    <xf numFmtId="0" fontId="11" fillId="0" borderId="0" xfId="0" applyFont="1" applyAlignment="1">
      <alignment vertical="center"/>
    </xf>
    <xf numFmtId="9" fontId="0" fillId="0" borderId="4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4" xfId="0" applyFon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inden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6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1E7D-44B2-49FB-BC32-9E848C85D173}">
  <dimension ref="A1:T85"/>
  <sheetViews>
    <sheetView tabSelected="1" topLeftCell="A57" workbookViewId="0">
      <selection sqref="A1:H2"/>
    </sheetView>
  </sheetViews>
  <sheetFormatPr defaultRowHeight="15" x14ac:dyDescent="0.25"/>
  <cols>
    <col min="1" max="1" width="24.42578125" customWidth="1"/>
    <col min="2" max="2" width="16.42578125" customWidth="1"/>
    <col min="3" max="3" width="23.7109375" customWidth="1"/>
    <col min="4" max="4" width="28" customWidth="1"/>
    <col min="5" max="5" width="28.42578125" customWidth="1"/>
    <col min="6" max="6" width="16.7109375" customWidth="1"/>
    <col min="7" max="7" width="28.140625" customWidth="1"/>
    <col min="8" max="8" width="50.28515625" customWidth="1"/>
  </cols>
  <sheetData>
    <row r="1" spans="1:20" ht="15" customHeight="1" x14ac:dyDescent="0.4">
      <c r="A1" s="49" t="s">
        <v>0</v>
      </c>
      <c r="B1" s="49"/>
      <c r="C1" s="49"/>
      <c r="D1" s="49"/>
      <c r="E1" s="49"/>
      <c r="F1" s="49"/>
      <c r="G1" s="49"/>
      <c r="H1" s="49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ht="15" customHeight="1" x14ac:dyDescent="0.4">
      <c r="A2" s="49"/>
      <c r="B2" s="49"/>
      <c r="C2" s="49"/>
      <c r="D2" s="49"/>
      <c r="E2" s="49"/>
      <c r="F2" s="49"/>
      <c r="G2" s="49"/>
      <c r="H2" s="49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4" spans="1:20" ht="15.75" x14ac:dyDescent="0.25">
      <c r="A4" s="40" t="s">
        <v>1</v>
      </c>
    </row>
    <row r="6" spans="1:20" ht="18" x14ac:dyDescent="0.25">
      <c r="A6" s="50" t="s">
        <v>2</v>
      </c>
      <c r="B6" s="50"/>
      <c r="C6" s="50"/>
      <c r="D6" s="50"/>
      <c r="E6" s="50"/>
      <c r="I6" s="2"/>
    </row>
    <row r="8" spans="1:20" ht="18" x14ac:dyDescent="0.25">
      <c r="A8" s="2" t="s">
        <v>3</v>
      </c>
    </row>
    <row r="10" spans="1:20" x14ac:dyDescent="0.25">
      <c r="A10" s="51" t="s">
        <v>4</v>
      </c>
      <c r="B10" s="52"/>
      <c r="C10" s="52"/>
      <c r="D10" s="52"/>
      <c r="E10" s="52"/>
      <c r="F10" s="53"/>
    </row>
    <row r="11" spans="1:20" x14ac:dyDescent="0.25">
      <c r="A11" s="15" t="s">
        <v>5</v>
      </c>
      <c r="B11" s="54" t="s">
        <v>6</v>
      </c>
      <c r="C11" s="55"/>
      <c r="D11" s="55"/>
      <c r="E11" s="55"/>
      <c r="F11" s="56"/>
    </row>
    <row r="12" spans="1:20" x14ac:dyDescent="0.25">
      <c r="A12" s="4" t="s">
        <v>7</v>
      </c>
      <c r="B12" s="46" t="s">
        <v>287</v>
      </c>
      <c r="C12" s="47"/>
      <c r="D12" s="47"/>
      <c r="E12" s="47"/>
      <c r="F12" s="48"/>
    </row>
    <row r="13" spans="1:20" x14ac:dyDescent="0.25">
      <c r="A13" s="4" t="s">
        <v>8</v>
      </c>
      <c r="B13" s="46" t="s">
        <v>288</v>
      </c>
      <c r="C13" s="47"/>
      <c r="D13" s="47"/>
      <c r="E13" s="47"/>
      <c r="F13" s="48"/>
    </row>
    <row r="14" spans="1:20" x14ac:dyDescent="0.25">
      <c r="A14" s="4" t="s">
        <v>9</v>
      </c>
      <c r="B14" s="46" t="s">
        <v>289</v>
      </c>
      <c r="C14" s="47"/>
      <c r="D14" s="47"/>
      <c r="E14" s="47"/>
      <c r="F14" s="48"/>
    </row>
    <row r="16" spans="1:20" ht="15.75" x14ac:dyDescent="0.25">
      <c r="A16" s="40" t="s">
        <v>292</v>
      </c>
    </row>
    <row r="17" spans="1:1" x14ac:dyDescent="0.25">
      <c r="A17" t="s">
        <v>293</v>
      </c>
    </row>
    <row r="18" spans="1:1" x14ac:dyDescent="0.25">
      <c r="A18" t="s">
        <v>294</v>
      </c>
    </row>
    <row r="19" spans="1:1" x14ac:dyDescent="0.25">
      <c r="A19" t="s">
        <v>295</v>
      </c>
    </row>
    <row r="20" spans="1:1" x14ac:dyDescent="0.25">
      <c r="A20" t="s">
        <v>296</v>
      </c>
    </row>
    <row r="21" spans="1:1" x14ac:dyDescent="0.25">
      <c r="A21" t="s">
        <v>297</v>
      </c>
    </row>
    <row r="23" spans="1:1" ht="15.75" x14ac:dyDescent="0.25">
      <c r="A23" s="40" t="s">
        <v>298</v>
      </c>
    </row>
    <row r="24" spans="1:1" x14ac:dyDescent="0.25">
      <c r="A24" s="35" t="s">
        <v>299</v>
      </c>
    </row>
    <row r="25" spans="1:1" x14ac:dyDescent="0.25">
      <c r="A25" s="35" t="s">
        <v>300</v>
      </c>
    </row>
    <row r="26" spans="1:1" x14ac:dyDescent="0.25">
      <c r="A26" s="35" t="s">
        <v>301</v>
      </c>
    </row>
    <row r="27" spans="1:1" x14ac:dyDescent="0.25">
      <c r="A27" s="35" t="s">
        <v>302</v>
      </c>
    </row>
    <row r="29" spans="1:1" ht="15.75" x14ac:dyDescent="0.25">
      <c r="A29" s="40" t="s">
        <v>303</v>
      </c>
    </row>
    <row r="30" spans="1:1" x14ac:dyDescent="0.25">
      <c r="A30" s="35" t="s">
        <v>304</v>
      </c>
    </row>
    <row r="31" spans="1:1" x14ac:dyDescent="0.25">
      <c r="A31" s="35" t="s">
        <v>305</v>
      </c>
    </row>
    <row r="32" spans="1:1" x14ac:dyDescent="0.25">
      <c r="A32" s="35" t="s">
        <v>306</v>
      </c>
    </row>
    <row r="33" spans="1:20" x14ac:dyDescent="0.25">
      <c r="A33" s="35" t="s">
        <v>307</v>
      </c>
    </row>
    <row r="34" spans="1:20" x14ac:dyDescent="0.25">
      <c r="A34" s="35" t="s">
        <v>308</v>
      </c>
    </row>
    <row r="35" spans="1:20" x14ac:dyDescent="0.25">
      <c r="A35" s="5"/>
    </row>
    <row r="37" spans="1:20" ht="15" customHeight="1" x14ac:dyDescent="0.4">
      <c r="A37" s="49" t="s">
        <v>42</v>
      </c>
      <c r="B37" s="49"/>
      <c r="C37" s="49"/>
      <c r="D37" s="49"/>
      <c r="E37" s="49"/>
      <c r="F37" s="49"/>
      <c r="G37" s="49"/>
      <c r="H37" s="4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0" ht="15" customHeight="1" x14ac:dyDescent="0.4">
      <c r="A38" s="49"/>
      <c r="B38" s="49"/>
      <c r="C38" s="49"/>
      <c r="D38" s="49"/>
      <c r="E38" s="49"/>
      <c r="F38" s="49"/>
      <c r="G38" s="49"/>
      <c r="H38" s="49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40" spans="1:20" ht="15.75" x14ac:dyDescent="0.25">
      <c r="A40" s="40" t="s">
        <v>43</v>
      </c>
    </row>
    <row r="42" spans="1:20" ht="18.75" x14ac:dyDescent="0.25">
      <c r="A42" s="18" t="s">
        <v>44</v>
      </c>
    </row>
    <row r="44" spans="1:20" ht="18.75" x14ac:dyDescent="0.25">
      <c r="C44" s="21" t="s">
        <v>45</v>
      </c>
      <c r="D44" s="21" t="s">
        <v>6</v>
      </c>
      <c r="E44" s="21" t="s">
        <v>46</v>
      </c>
      <c r="F44" s="1"/>
    </row>
    <row r="45" spans="1:20" x14ac:dyDescent="0.25">
      <c r="C45" s="20" t="s">
        <v>48</v>
      </c>
      <c r="D45" s="7" t="s">
        <v>49</v>
      </c>
      <c r="E45" s="20" t="s">
        <v>50</v>
      </c>
      <c r="F45" s="1"/>
    </row>
    <row r="46" spans="1:20" x14ac:dyDescent="0.25">
      <c r="C46" s="20" t="s">
        <v>51</v>
      </c>
      <c r="D46" s="7" t="s">
        <v>52</v>
      </c>
      <c r="E46" s="20" t="s">
        <v>53</v>
      </c>
      <c r="F46" s="1"/>
    </row>
    <row r="47" spans="1:20" x14ac:dyDescent="0.25">
      <c r="C47" s="20" t="s">
        <v>54</v>
      </c>
      <c r="D47" s="7" t="s">
        <v>55</v>
      </c>
      <c r="E47" s="20" t="s">
        <v>56</v>
      </c>
      <c r="F47" s="1"/>
    </row>
    <row r="48" spans="1:20" x14ac:dyDescent="0.25">
      <c r="C48" s="20" t="s">
        <v>57</v>
      </c>
      <c r="D48" s="7" t="s">
        <v>58</v>
      </c>
      <c r="E48" s="20" t="s">
        <v>59</v>
      </c>
      <c r="F48" s="1"/>
    </row>
    <row r="49" spans="1:8" x14ac:dyDescent="0.25">
      <c r="C49" s="20" t="s">
        <v>60</v>
      </c>
      <c r="D49" s="7" t="s">
        <v>61</v>
      </c>
      <c r="E49" s="20" t="s">
        <v>62</v>
      </c>
      <c r="F49" s="1"/>
    </row>
    <row r="50" spans="1:8" x14ac:dyDescent="0.25">
      <c r="C50" s="20" t="s">
        <v>63</v>
      </c>
      <c r="D50" s="7" t="s">
        <v>64</v>
      </c>
      <c r="E50" s="20" t="s">
        <v>65</v>
      </c>
      <c r="F50" s="1"/>
    </row>
    <row r="51" spans="1:8" x14ac:dyDescent="0.25">
      <c r="C51" s="1"/>
      <c r="D51" s="1"/>
      <c r="E51" s="1"/>
      <c r="F51" s="1"/>
    </row>
    <row r="52" spans="1:8" x14ac:dyDescent="0.25">
      <c r="C52" s="1"/>
      <c r="D52" s="1"/>
      <c r="E52" s="1"/>
      <c r="F52" s="1"/>
    </row>
    <row r="53" spans="1:8" ht="18.75" x14ac:dyDescent="0.25">
      <c r="C53" s="21" t="s">
        <v>66</v>
      </c>
      <c r="D53" s="21" t="s">
        <v>67</v>
      </c>
      <c r="E53" s="21" t="s">
        <v>47</v>
      </c>
      <c r="F53" s="1"/>
    </row>
    <row r="54" spans="1:8" x14ac:dyDescent="0.25">
      <c r="C54" s="6">
        <v>10</v>
      </c>
      <c r="D54" s="6">
        <v>10</v>
      </c>
      <c r="E54" s="6" t="b">
        <f>C54=D54</f>
        <v>1</v>
      </c>
      <c r="F54" s="1"/>
    </row>
    <row r="55" spans="1:8" x14ac:dyDescent="0.25">
      <c r="E55" s="1"/>
      <c r="F55" s="1"/>
    </row>
    <row r="56" spans="1:8" ht="15.75" x14ac:dyDescent="0.25">
      <c r="A56" s="40" t="s">
        <v>290</v>
      </c>
      <c r="E56" s="1"/>
      <c r="F56" s="1"/>
    </row>
    <row r="57" spans="1:8" x14ac:dyDescent="0.25">
      <c r="A57" s="5" t="s">
        <v>91</v>
      </c>
      <c r="E57" s="1"/>
      <c r="F57" s="1"/>
    </row>
    <row r="58" spans="1:8" x14ac:dyDescent="0.25">
      <c r="A58" s="5" t="s">
        <v>92</v>
      </c>
      <c r="E58" s="1"/>
      <c r="F58" s="1"/>
    </row>
    <row r="60" spans="1:8" ht="18.75" x14ac:dyDescent="0.25">
      <c r="B60" s="21" t="s">
        <v>68</v>
      </c>
      <c r="C60" s="21" t="s">
        <v>69</v>
      </c>
      <c r="D60" s="21" t="s">
        <v>70</v>
      </c>
      <c r="E60" s="21" t="s">
        <v>47</v>
      </c>
      <c r="G60" s="15" t="s">
        <v>103</v>
      </c>
      <c r="H60" s="15" t="s">
        <v>6</v>
      </c>
    </row>
    <row r="61" spans="1:8" x14ac:dyDescent="0.25">
      <c r="B61" s="7" t="s">
        <v>71</v>
      </c>
      <c r="C61" s="7" t="s">
        <v>72</v>
      </c>
      <c r="D61" s="24">
        <v>65000</v>
      </c>
      <c r="E61" s="7"/>
      <c r="G61" s="25" t="s">
        <v>4</v>
      </c>
      <c r="H61" s="13" t="s">
        <v>96</v>
      </c>
    </row>
    <row r="62" spans="1:8" x14ac:dyDescent="0.25">
      <c r="B62" s="7" t="s">
        <v>73</v>
      </c>
      <c r="C62" s="7" t="s">
        <v>74</v>
      </c>
      <c r="D62" s="24">
        <v>42000</v>
      </c>
      <c r="E62" s="7"/>
      <c r="G62" s="25" t="s">
        <v>97</v>
      </c>
      <c r="H62" s="13" t="s">
        <v>98</v>
      </c>
    </row>
    <row r="63" spans="1:8" x14ac:dyDescent="0.25">
      <c r="B63" s="7" t="s">
        <v>75</v>
      </c>
      <c r="C63" s="7" t="s">
        <v>76</v>
      </c>
      <c r="D63" s="24">
        <v>78000</v>
      </c>
      <c r="E63" s="7"/>
      <c r="G63" s="25" t="s">
        <v>99</v>
      </c>
      <c r="H63" s="13" t="s">
        <v>100</v>
      </c>
    </row>
    <row r="64" spans="1:8" x14ac:dyDescent="0.25">
      <c r="B64" s="7" t="s">
        <v>77</v>
      </c>
      <c r="C64" s="7" t="s">
        <v>78</v>
      </c>
      <c r="D64" s="24">
        <v>35000</v>
      </c>
      <c r="E64" s="7"/>
      <c r="G64" s="25" t="s">
        <v>101</v>
      </c>
      <c r="H64" s="13" t="s">
        <v>102</v>
      </c>
    </row>
    <row r="65" spans="1:5" x14ac:dyDescent="0.25">
      <c r="B65" s="7" t="s">
        <v>79</v>
      </c>
      <c r="C65" s="7" t="s">
        <v>80</v>
      </c>
      <c r="D65" s="24">
        <v>91000</v>
      </c>
      <c r="E65" s="7"/>
    </row>
    <row r="66" spans="1:5" x14ac:dyDescent="0.25">
      <c r="B66" s="7" t="s">
        <v>81</v>
      </c>
      <c r="C66" s="7" t="s">
        <v>82</v>
      </c>
      <c r="D66" s="24">
        <v>50000</v>
      </c>
      <c r="E66" s="7"/>
    </row>
    <row r="67" spans="1:5" x14ac:dyDescent="0.25">
      <c r="B67" s="7" t="s">
        <v>83</v>
      </c>
      <c r="C67" s="7" t="s">
        <v>84</v>
      </c>
      <c r="D67" s="24">
        <v>28000</v>
      </c>
      <c r="E67" s="7"/>
    </row>
    <row r="68" spans="1:5" x14ac:dyDescent="0.25">
      <c r="B68" s="7" t="s">
        <v>85</v>
      </c>
      <c r="C68" s="7" t="s">
        <v>86</v>
      </c>
      <c r="D68" s="24">
        <v>73000</v>
      </c>
      <c r="E68" s="7"/>
    </row>
    <row r="69" spans="1:5" x14ac:dyDescent="0.25">
      <c r="B69" s="7" t="s">
        <v>87</v>
      </c>
      <c r="C69" s="7" t="s">
        <v>88</v>
      </c>
      <c r="D69" s="24">
        <v>49000</v>
      </c>
      <c r="E69" s="7"/>
    </row>
    <row r="70" spans="1:5" x14ac:dyDescent="0.25">
      <c r="B70" s="7" t="s">
        <v>89</v>
      </c>
      <c r="C70" s="7" t="s">
        <v>90</v>
      </c>
      <c r="D70" s="24">
        <v>56000</v>
      </c>
      <c r="E70" s="7"/>
    </row>
    <row r="72" spans="1:5" ht="15.75" x14ac:dyDescent="0.25">
      <c r="A72" s="9" t="s">
        <v>291</v>
      </c>
    </row>
    <row r="73" spans="1:5" x14ac:dyDescent="0.25">
      <c r="A73" t="s">
        <v>95</v>
      </c>
    </row>
    <row r="75" spans="1:5" ht="18.75" x14ac:dyDescent="0.25">
      <c r="B75" s="21" t="s">
        <v>93</v>
      </c>
      <c r="C75" s="21" t="s">
        <v>94</v>
      </c>
      <c r="D75" s="21" t="s">
        <v>47</v>
      </c>
    </row>
    <row r="76" spans="1:5" x14ac:dyDescent="0.25">
      <c r="B76" s="7" t="s">
        <v>72</v>
      </c>
      <c r="C76" s="7">
        <v>85</v>
      </c>
      <c r="D76" s="7"/>
    </row>
    <row r="77" spans="1:5" x14ac:dyDescent="0.25">
      <c r="B77" s="7" t="s">
        <v>74</v>
      </c>
      <c r="C77" s="7">
        <v>32</v>
      </c>
      <c r="D77" s="7"/>
    </row>
    <row r="78" spans="1:5" x14ac:dyDescent="0.25">
      <c r="B78" s="7" t="s">
        <v>76</v>
      </c>
      <c r="C78" s="7">
        <v>68</v>
      </c>
      <c r="D78" s="7"/>
    </row>
    <row r="79" spans="1:5" x14ac:dyDescent="0.25">
      <c r="B79" s="7" t="s">
        <v>78</v>
      </c>
      <c r="C79" s="7">
        <v>39</v>
      </c>
      <c r="D79" s="7"/>
    </row>
    <row r="80" spans="1:5" x14ac:dyDescent="0.25">
      <c r="B80" s="7" t="s">
        <v>80</v>
      </c>
      <c r="C80" s="7">
        <v>91</v>
      </c>
      <c r="D80" s="7"/>
    </row>
    <row r="81" spans="2:4" x14ac:dyDescent="0.25">
      <c r="B81" s="7" t="s">
        <v>82</v>
      </c>
      <c r="C81" s="7">
        <v>55</v>
      </c>
      <c r="D81" s="7"/>
    </row>
    <row r="82" spans="2:4" x14ac:dyDescent="0.25">
      <c r="B82" s="7" t="s">
        <v>84</v>
      </c>
      <c r="C82" s="7">
        <v>28</v>
      </c>
      <c r="D82" s="7"/>
    </row>
    <row r="83" spans="2:4" x14ac:dyDescent="0.25">
      <c r="B83" s="7" t="s">
        <v>86</v>
      </c>
      <c r="C83" s="7">
        <v>74</v>
      </c>
      <c r="D83" s="7"/>
    </row>
    <row r="84" spans="2:4" x14ac:dyDescent="0.25">
      <c r="B84" s="7" t="s">
        <v>88</v>
      </c>
      <c r="C84" s="7">
        <v>40</v>
      </c>
      <c r="D84" s="7"/>
    </row>
    <row r="85" spans="2:4" x14ac:dyDescent="0.25">
      <c r="B85" s="7" t="s">
        <v>90</v>
      </c>
      <c r="C85" s="7">
        <v>97</v>
      </c>
      <c r="D85" s="7"/>
    </row>
  </sheetData>
  <mergeCells count="8">
    <mergeCell ref="B14:F14"/>
    <mergeCell ref="A1:H2"/>
    <mergeCell ref="A37:H38"/>
    <mergeCell ref="A6:E6"/>
    <mergeCell ref="A10:F10"/>
    <mergeCell ref="B11:F11"/>
    <mergeCell ref="B12:F12"/>
    <mergeCell ref="B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BB9D-DD16-4BDE-B16B-05723982927C}">
  <dimension ref="A1:I113"/>
  <sheetViews>
    <sheetView topLeftCell="A3" workbookViewId="0">
      <selection activeCell="G40" sqref="G40"/>
    </sheetView>
  </sheetViews>
  <sheetFormatPr defaultRowHeight="15" x14ac:dyDescent="0.25"/>
  <cols>
    <col min="2" max="2" width="23.7109375" customWidth="1"/>
    <col min="3" max="3" width="54.28515625" customWidth="1"/>
    <col min="4" max="4" width="16.28515625" customWidth="1"/>
    <col min="5" max="5" width="14.42578125" customWidth="1"/>
    <col min="6" max="6" width="37.28515625" customWidth="1"/>
    <col min="7" max="7" width="29.42578125" customWidth="1"/>
    <col min="8" max="8" width="67.42578125" customWidth="1"/>
    <col min="9" max="9" width="59.85546875" customWidth="1"/>
  </cols>
  <sheetData>
    <row r="1" spans="1:9" ht="15" customHeight="1" x14ac:dyDescent="0.25">
      <c r="A1" s="49" t="s">
        <v>104</v>
      </c>
      <c r="B1" s="49"/>
      <c r="C1" s="49"/>
      <c r="D1" s="49"/>
      <c r="E1" s="49"/>
      <c r="F1" s="49"/>
      <c r="G1" s="49"/>
      <c r="H1" s="49"/>
      <c r="I1" s="49"/>
    </row>
    <row r="2" spans="1:9" ht="15" customHeight="1" x14ac:dyDescent="0.25">
      <c r="A2" s="49"/>
      <c r="B2" s="49"/>
      <c r="C2" s="49"/>
      <c r="D2" s="49"/>
      <c r="E2" s="49"/>
      <c r="F2" s="49"/>
      <c r="G2" s="49"/>
      <c r="H2" s="49"/>
      <c r="I2" s="49"/>
    </row>
    <row r="4" spans="1:9" x14ac:dyDescent="0.25">
      <c r="A4" t="s">
        <v>105</v>
      </c>
    </row>
    <row r="6" spans="1:9" ht="45" x14ac:dyDescent="0.25">
      <c r="C6" s="27" t="s">
        <v>106</v>
      </c>
    </row>
    <row r="7" spans="1:9" x14ac:dyDescent="0.25">
      <c r="C7" s="27"/>
    </row>
    <row r="8" spans="1:9" ht="24" x14ac:dyDescent="0.25">
      <c r="A8" s="16" t="s">
        <v>309</v>
      </c>
      <c r="C8" s="27"/>
    </row>
    <row r="9" spans="1:9" x14ac:dyDescent="0.25">
      <c r="A9" s="5" t="s">
        <v>311</v>
      </c>
      <c r="C9" s="27"/>
    </row>
    <row r="10" spans="1:9" x14ac:dyDescent="0.25">
      <c r="A10" t="s">
        <v>312</v>
      </c>
      <c r="C10" s="27"/>
    </row>
    <row r="11" spans="1:9" x14ac:dyDescent="0.25">
      <c r="A11" t="s">
        <v>313</v>
      </c>
      <c r="C11" s="27"/>
    </row>
    <row r="12" spans="1:9" x14ac:dyDescent="0.25">
      <c r="A12" s="35" t="s">
        <v>314</v>
      </c>
      <c r="C12" s="27"/>
    </row>
    <row r="13" spans="1:9" x14ac:dyDescent="0.25">
      <c r="C13" s="27"/>
    </row>
    <row r="14" spans="1:9" x14ac:dyDescent="0.25">
      <c r="B14" s="3" t="s">
        <v>107</v>
      </c>
      <c r="C14" s="3" t="s">
        <v>108</v>
      </c>
      <c r="D14" s="3" t="s">
        <v>94</v>
      </c>
      <c r="E14" s="3" t="s">
        <v>47</v>
      </c>
    </row>
    <row r="15" spans="1:9" x14ac:dyDescent="0.25">
      <c r="B15" s="7" t="s">
        <v>110</v>
      </c>
      <c r="C15" s="7" t="s">
        <v>72</v>
      </c>
      <c r="D15" s="7">
        <v>95</v>
      </c>
      <c r="E15" s="7"/>
    </row>
    <row r="16" spans="1:9" x14ac:dyDescent="0.25">
      <c r="B16" s="7" t="s">
        <v>111</v>
      </c>
      <c r="C16" s="7" t="s">
        <v>74</v>
      </c>
      <c r="D16" s="7">
        <v>82</v>
      </c>
      <c r="E16" s="7"/>
    </row>
    <row r="17" spans="1:8" x14ac:dyDescent="0.25">
      <c r="B17" s="7" t="s">
        <v>112</v>
      </c>
      <c r="C17" s="7" t="s">
        <v>76</v>
      </c>
      <c r="D17" s="7">
        <v>74</v>
      </c>
      <c r="E17" s="7"/>
    </row>
    <row r="18" spans="1:8" x14ac:dyDescent="0.25">
      <c r="B18" s="7" t="s">
        <v>113</v>
      </c>
      <c r="C18" s="7" t="s">
        <v>78</v>
      </c>
      <c r="D18" s="7">
        <v>67</v>
      </c>
      <c r="E18" s="7"/>
    </row>
    <row r="19" spans="1:8" x14ac:dyDescent="0.25">
      <c r="B19" s="7" t="s">
        <v>114</v>
      </c>
      <c r="C19" s="7" t="s">
        <v>80</v>
      </c>
      <c r="D19" s="7">
        <v>55</v>
      </c>
      <c r="E19" s="7"/>
    </row>
    <row r="20" spans="1:8" x14ac:dyDescent="0.25">
      <c r="B20" s="7" t="s">
        <v>115</v>
      </c>
      <c r="C20" s="7" t="s">
        <v>82</v>
      </c>
      <c r="D20" s="7">
        <v>48</v>
      </c>
      <c r="E20" s="7"/>
    </row>
    <row r="21" spans="1:8" x14ac:dyDescent="0.25">
      <c r="B21" s="7" t="s">
        <v>116</v>
      </c>
      <c r="C21" s="7" t="s">
        <v>84</v>
      </c>
      <c r="D21" s="7">
        <v>39</v>
      </c>
      <c r="E21" s="7"/>
    </row>
    <row r="22" spans="1:8" x14ac:dyDescent="0.25">
      <c r="B22" s="7" t="s">
        <v>117</v>
      </c>
      <c r="C22" s="7" t="s">
        <v>86</v>
      </c>
      <c r="D22" s="7">
        <v>88</v>
      </c>
      <c r="E22" s="7"/>
    </row>
    <row r="23" spans="1:8" x14ac:dyDescent="0.25">
      <c r="B23" s="7" t="s">
        <v>118</v>
      </c>
      <c r="C23" s="7" t="s">
        <v>88</v>
      </c>
      <c r="D23" s="7">
        <v>61</v>
      </c>
      <c r="E23" s="7"/>
    </row>
    <row r="24" spans="1:8" x14ac:dyDescent="0.25">
      <c r="B24" s="7" t="s">
        <v>119</v>
      </c>
      <c r="C24" s="7" t="s">
        <v>90</v>
      </c>
      <c r="D24" s="7">
        <v>27</v>
      </c>
      <c r="E24" s="7"/>
    </row>
    <row r="25" spans="1:8" x14ac:dyDescent="0.25">
      <c r="D25" s="27"/>
    </row>
    <row r="26" spans="1:8" x14ac:dyDescent="0.25">
      <c r="D26" s="1"/>
    </row>
    <row r="27" spans="1:8" ht="24" x14ac:dyDescent="0.25">
      <c r="A27" s="16" t="s">
        <v>310</v>
      </c>
      <c r="C27" s="1"/>
    </row>
    <row r="29" spans="1:8" x14ac:dyDescent="0.25">
      <c r="B29" s="3" t="s">
        <v>107</v>
      </c>
      <c r="C29" s="3" t="s">
        <v>108</v>
      </c>
      <c r="D29" s="3" t="s">
        <v>94</v>
      </c>
      <c r="E29" s="3" t="s">
        <v>109</v>
      </c>
      <c r="F29" s="1"/>
      <c r="G29" s="41" t="s">
        <v>130</v>
      </c>
      <c r="H29" s="1"/>
    </row>
    <row r="30" spans="1:8" x14ac:dyDescent="0.25">
      <c r="B30" s="7" t="s">
        <v>110</v>
      </c>
      <c r="C30" s="7" t="s">
        <v>72</v>
      </c>
      <c r="D30" s="7">
        <v>95</v>
      </c>
      <c r="E30" s="7"/>
      <c r="F30" s="1"/>
      <c r="G30" s="1"/>
      <c r="H30" s="1"/>
    </row>
    <row r="31" spans="1:8" x14ac:dyDescent="0.25">
      <c r="B31" s="7" t="s">
        <v>111</v>
      </c>
      <c r="C31" s="7" t="s">
        <v>74</v>
      </c>
      <c r="D31" s="7">
        <v>82</v>
      </c>
      <c r="E31" s="7"/>
      <c r="F31" s="1"/>
      <c r="G31" s="42" t="s">
        <v>140</v>
      </c>
      <c r="H31" s="42" t="s">
        <v>131</v>
      </c>
    </row>
    <row r="32" spans="1:8" ht="15.75" x14ac:dyDescent="0.3">
      <c r="B32" s="7" t="s">
        <v>112</v>
      </c>
      <c r="C32" s="7" t="s">
        <v>76</v>
      </c>
      <c r="D32" s="7">
        <v>74</v>
      </c>
      <c r="E32" s="7"/>
      <c r="F32" s="1"/>
      <c r="G32" s="43" t="s">
        <v>132</v>
      </c>
      <c r="H32" s="44" t="s">
        <v>133</v>
      </c>
    </row>
    <row r="33" spans="1:8" ht="15.75" x14ac:dyDescent="0.3">
      <c r="B33" s="7" t="s">
        <v>113</v>
      </c>
      <c r="C33" s="7" t="s">
        <v>78</v>
      </c>
      <c r="D33" s="7">
        <v>67</v>
      </c>
      <c r="E33" s="7"/>
      <c r="F33" s="1"/>
      <c r="G33" s="43" t="s">
        <v>134</v>
      </c>
      <c r="H33" s="44" t="s">
        <v>135</v>
      </c>
    </row>
    <row r="34" spans="1:8" ht="15.75" x14ac:dyDescent="0.3">
      <c r="B34" s="7" t="s">
        <v>114</v>
      </c>
      <c r="C34" s="7" t="s">
        <v>80</v>
      </c>
      <c r="D34" s="7">
        <v>55</v>
      </c>
      <c r="E34" s="7"/>
      <c r="F34" s="1"/>
      <c r="G34" s="43" t="s">
        <v>136</v>
      </c>
      <c r="H34" s="44" t="s">
        <v>137</v>
      </c>
    </row>
    <row r="35" spans="1:8" ht="15.75" x14ac:dyDescent="0.3">
      <c r="B35" s="7" t="s">
        <v>115</v>
      </c>
      <c r="C35" s="7" t="s">
        <v>82</v>
      </c>
      <c r="D35" s="7">
        <v>48</v>
      </c>
      <c r="E35" s="7"/>
      <c r="F35" s="1"/>
      <c r="G35" s="43" t="s">
        <v>138</v>
      </c>
      <c r="H35" s="44" t="s">
        <v>139</v>
      </c>
    </row>
    <row r="36" spans="1:8" x14ac:dyDescent="0.25">
      <c r="B36" s="7" t="s">
        <v>116</v>
      </c>
      <c r="C36" s="7" t="s">
        <v>84</v>
      </c>
      <c r="D36" s="7">
        <v>39</v>
      </c>
      <c r="E36" s="7"/>
      <c r="F36" s="1"/>
      <c r="G36" s="1"/>
      <c r="H36" s="1"/>
    </row>
    <row r="37" spans="1:8" x14ac:dyDescent="0.25">
      <c r="B37" s="7" t="s">
        <v>117</v>
      </c>
      <c r="C37" s="7" t="s">
        <v>86</v>
      </c>
      <c r="D37" s="7">
        <v>88</v>
      </c>
      <c r="E37" s="7"/>
      <c r="F37" s="1"/>
      <c r="G37" s="1"/>
      <c r="H37" s="1"/>
    </row>
    <row r="38" spans="1:8" x14ac:dyDescent="0.25">
      <c r="B38" s="7" t="s">
        <v>118</v>
      </c>
      <c r="C38" s="7" t="s">
        <v>88</v>
      </c>
      <c r="D38" s="7">
        <v>61</v>
      </c>
      <c r="E38" s="7"/>
      <c r="F38" s="1"/>
      <c r="G38" s="1"/>
      <c r="H38" s="1"/>
    </row>
    <row r="39" spans="1:8" x14ac:dyDescent="0.25">
      <c r="B39" s="7" t="s">
        <v>119</v>
      </c>
      <c r="C39" s="7" t="s">
        <v>90</v>
      </c>
      <c r="D39" s="7">
        <v>27</v>
      </c>
      <c r="E39" s="7"/>
      <c r="F39" s="1"/>
      <c r="G39" s="1"/>
      <c r="H39" s="1"/>
    </row>
    <row r="41" spans="1:8" ht="18" x14ac:dyDescent="0.25">
      <c r="A41" s="2" t="s">
        <v>178</v>
      </c>
    </row>
    <row r="43" spans="1:8" x14ac:dyDescent="0.25">
      <c r="B43" s="3" t="s">
        <v>94</v>
      </c>
      <c r="C43" s="3" t="s">
        <v>109</v>
      </c>
    </row>
    <row r="44" spans="1:8" x14ac:dyDescent="0.25">
      <c r="B44" s="7" t="s">
        <v>120</v>
      </c>
      <c r="C44" s="7" t="s">
        <v>121</v>
      </c>
    </row>
    <row r="45" spans="1:8" x14ac:dyDescent="0.25">
      <c r="B45" s="7" t="s">
        <v>122</v>
      </c>
      <c r="C45" s="7" t="s">
        <v>123</v>
      </c>
    </row>
    <row r="46" spans="1:8" x14ac:dyDescent="0.25">
      <c r="B46" s="7" t="s">
        <v>124</v>
      </c>
      <c r="C46" s="7" t="s">
        <v>125</v>
      </c>
    </row>
    <row r="47" spans="1:8" x14ac:dyDescent="0.25">
      <c r="B47" s="7" t="s">
        <v>126</v>
      </c>
      <c r="C47" s="7" t="s">
        <v>127</v>
      </c>
    </row>
    <row r="48" spans="1:8" x14ac:dyDescent="0.25">
      <c r="B48" s="7" t="s">
        <v>128</v>
      </c>
      <c r="C48" s="7" t="s">
        <v>129</v>
      </c>
    </row>
    <row r="50" spans="1:4" ht="18.75" x14ac:dyDescent="0.25">
      <c r="A50" s="17" t="s">
        <v>179</v>
      </c>
    </row>
    <row r="52" spans="1:4" x14ac:dyDescent="0.25">
      <c r="B52" s="3" t="s">
        <v>141</v>
      </c>
      <c r="C52" s="3" t="s">
        <v>70</v>
      </c>
      <c r="D52" s="3" t="s">
        <v>142</v>
      </c>
    </row>
    <row r="53" spans="1:4" x14ac:dyDescent="0.25">
      <c r="B53" s="7" t="s">
        <v>72</v>
      </c>
      <c r="C53" s="24">
        <v>92000</v>
      </c>
      <c r="D53" s="7"/>
    </row>
    <row r="54" spans="1:4" x14ac:dyDescent="0.25">
      <c r="B54" s="7" t="s">
        <v>74</v>
      </c>
      <c r="C54" s="24">
        <v>78000</v>
      </c>
      <c r="D54" s="7"/>
    </row>
    <row r="55" spans="1:4" x14ac:dyDescent="0.25">
      <c r="B55" s="7" t="s">
        <v>76</v>
      </c>
      <c r="C55" s="24">
        <v>65000</v>
      </c>
      <c r="D55" s="7"/>
    </row>
    <row r="56" spans="1:4" x14ac:dyDescent="0.25">
      <c r="B56" s="7" t="s">
        <v>78</v>
      </c>
      <c r="C56" s="24">
        <v>48000</v>
      </c>
      <c r="D56" s="7"/>
    </row>
    <row r="57" spans="1:4" x14ac:dyDescent="0.25">
      <c r="B57" s="7" t="s">
        <v>80</v>
      </c>
      <c r="C57" s="24">
        <v>32000</v>
      </c>
      <c r="D57" s="7"/>
    </row>
    <row r="58" spans="1:4" x14ac:dyDescent="0.25">
      <c r="B58" s="7" t="s">
        <v>82</v>
      </c>
      <c r="C58" s="24">
        <v>85000</v>
      </c>
      <c r="D58" s="7"/>
    </row>
    <row r="59" spans="1:4" x14ac:dyDescent="0.25">
      <c r="B59" s="7" t="s">
        <v>84</v>
      </c>
      <c r="C59" s="24">
        <v>55000</v>
      </c>
      <c r="D59" s="7"/>
    </row>
    <row r="60" spans="1:4" x14ac:dyDescent="0.25">
      <c r="B60" s="7" t="s">
        <v>86</v>
      </c>
      <c r="C60" s="24">
        <v>95000</v>
      </c>
      <c r="D60" s="7"/>
    </row>
    <row r="61" spans="1:4" x14ac:dyDescent="0.25">
      <c r="B61" s="7" t="s">
        <v>88</v>
      </c>
      <c r="C61" s="24">
        <v>72000</v>
      </c>
      <c r="D61" s="7"/>
    </row>
    <row r="62" spans="1:4" x14ac:dyDescent="0.25">
      <c r="B62" s="7" t="s">
        <v>90</v>
      </c>
      <c r="C62" s="24">
        <v>40000</v>
      </c>
      <c r="D62" s="7"/>
    </row>
    <row r="64" spans="1:4" ht="18" x14ac:dyDescent="0.25">
      <c r="A64" s="2" t="s">
        <v>180</v>
      </c>
    </row>
    <row r="65" spans="1:4" x14ac:dyDescent="0.25">
      <c r="B65" s="3" t="s">
        <v>70</v>
      </c>
      <c r="C65" s="3" t="s">
        <v>142</v>
      </c>
    </row>
    <row r="66" spans="1:4" x14ac:dyDescent="0.25">
      <c r="B66" s="7" t="s">
        <v>143</v>
      </c>
      <c r="C66" s="7" t="s">
        <v>144</v>
      </c>
    </row>
    <row r="67" spans="1:4" x14ac:dyDescent="0.25">
      <c r="B67" s="7" t="s">
        <v>145</v>
      </c>
      <c r="C67" s="7" t="s">
        <v>146</v>
      </c>
    </row>
    <row r="68" spans="1:4" x14ac:dyDescent="0.25">
      <c r="B68" s="7" t="s">
        <v>147</v>
      </c>
      <c r="C68" s="7" t="s">
        <v>148</v>
      </c>
    </row>
    <row r="69" spans="1:4" x14ac:dyDescent="0.25">
      <c r="B69" s="7" t="s">
        <v>149</v>
      </c>
      <c r="C69" s="7" t="s">
        <v>150</v>
      </c>
    </row>
    <row r="70" spans="1:4" x14ac:dyDescent="0.25">
      <c r="B70" s="7" t="s">
        <v>151</v>
      </c>
      <c r="C70" s="7" t="s">
        <v>152</v>
      </c>
    </row>
    <row r="73" spans="1:4" ht="21" x14ac:dyDescent="0.25">
      <c r="A73" s="28" t="s">
        <v>181</v>
      </c>
    </row>
    <row r="75" spans="1:4" x14ac:dyDescent="0.25">
      <c r="B75" s="3" t="s">
        <v>32</v>
      </c>
      <c r="C75" s="3" t="s">
        <v>153</v>
      </c>
      <c r="D75" s="3" t="s">
        <v>154</v>
      </c>
    </row>
    <row r="76" spans="1:4" x14ac:dyDescent="0.25">
      <c r="B76" s="7" t="s">
        <v>37</v>
      </c>
      <c r="C76" s="24">
        <v>95000</v>
      </c>
      <c r="D76" s="7"/>
    </row>
    <row r="77" spans="1:4" x14ac:dyDescent="0.25">
      <c r="B77" s="7" t="s">
        <v>38</v>
      </c>
      <c r="C77" s="24">
        <v>12000</v>
      </c>
      <c r="D77" s="7"/>
    </row>
    <row r="78" spans="1:4" x14ac:dyDescent="0.25">
      <c r="B78" s="7" t="s">
        <v>39</v>
      </c>
      <c r="C78" s="24">
        <v>8500</v>
      </c>
      <c r="D78" s="7"/>
    </row>
    <row r="79" spans="1:4" x14ac:dyDescent="0.25">
      <c r="B79" s="7" t="s">
        <v>40</v>
      </c>
      <c r="C79" s="24">
        <v>55000</v>
      </c>
      <c r="D79" s="7"/>
    </row>
    <row r="80" spans="1:4" x14ac:dyDescent="0.25">
      <c r="B80" s="7" t="s">
        <v>155</v>
      </c>
      <c r="C80" s="24">
        <v>32000</v>
      </c>
      <c r="D80" s="7"/>
    </row>
    <row r="81" spans="1:4" x14ac:dyDescent="0.25">
      <c r="B81" s="7" t="s">
        <v>156</v>
      </c>
      <c r="C81" s="24">
        <v>65000</v>
      </c>
      <c r="D81" s="7"/>
    </row>
    <row r="82" spans="1:4" x14ac:dyDescent="0.25">
      <c r="B82" s="7" t="s">
        <v>157</v>
      </c>
      <c r="C82" s="24">
        <v>15000</v>
      </c>
      <c r="D82" s="7"/>
    </row>
    <row r="83" spans="1:4" x14ac:dyDescent="0.25">
      <c r="B83" s="7" t="s">
        <v>158</v>
      </c>
      <c r="C83" s="24">
        <v>7000</v>
      </c>
      <c r="D83" s="7"/>
    </row>
    <row r="84" spans="1:4" x14ac:dyDescent="0.25">
      <c r="B84" s="7" t="s">
        <v>159</v>
      </c>
      <c r="C84" s="24">
        <v>28000</v>
      </c>
      <c r="D84" s="7"/>
    </row>
    <row r="85" spans="1:4" x14ac:dyDescent="0.25">
      <c r="B85" s="7" t="s">
        <v>160</v>
      </c>
      <c r="C85" s="24">
        <v>5000</v>
      </c>
      <c r="D85" s="7"/>
    </row>
    <row r="86" spans="1:4" x14ac:dyDescent="0.25">
      <c r="B86" s="19"/>
      <c r="C86" s="23"/>
      <c r="D86" s="19"/>
    </row>
    <row r="87" spans="1:4" ht="18" x14ac:dyDescent="0.25">
      <c r="A87" s="2" t="s">
        <v>166</v>
      </c>
    </row>
    <row r="88" spans="1:4" x14ac:dyDescent="0.25">
      <c r="A88" s="22"/>
      <c r="B88" s="3" t="s">
        <v>153</v>
      </c>
      <c r="C88" s="3" t="s">
        <v>154</v>
      </c>
    </row>
    <row r="89" spans="1:4" x14ac:dyDescent="0.25">
      <c r="A89" s="11"/>
      <c r="B89" s="7" t="s">
        <v>161</v>
      </c>
      <c r="C89" s="29">
        <v>0.25</v>
      </c>
    </row>
    <row r="90" spans="1:4" x14ac:dyDescent="0.25">
      <c r="A90" s="11"/>
      <c r="B90" s="7" t="s">
        <v>162</v>
      </c>
      <c r="C90" s="29">
        <v>0.2</v>
      </c>
    </row>
    <row r="91" spans="1:4" x14ac:dyDescent="0.25">
      <c r="A91" s="11"/>
      <c r="B91" s="7" t="s">
        <v>163</v>
      </c>
      <c r="C91" s="29">
        <v>0.1</v>
      </c>
    </row>
    <row r="92" spans="1:4" x14ac:dyDescent="0.25">
      <c r="A92" s="11"/>
      <c r="B92" s="7" t="s">
        <v>164</v>
      </c>
      <c r="C92" s="7" t="s">
        <v>165</v>
      </c>
    </row>
    <row r="94" spans="1:4" ht="18.75" x14ac:dyDescent="0.25">
      <c r="A94" s="17" t="s">
        <v>182</v>
      </c>
    </row>
    <row r="96" spans="1:4" x14ac:dyDescent="0.25">
      <c r="B96" s="3" t="s">
        <v>167</v>
      </c>
      <c r="C96" s="3" t="s">
        <v>168</v>
      </c>
      <c r="D96" s="3" t="s">
        <v>169</v>
      </c>
    </row>
    <row r="97" spans="1:4" x14ac:dyDescent="0.25">
      <c r="B97" s="7" t="s">
        <v>72</v>
      </c>
      <c r="C97" s="24">
        <v>120000</v>
      </c>
      <c r="D97" s="7"/>
    </row>
    <row r="98" spans="1:4" x14ac:dyDescent="0.25">
      <c r="B98" s="7" t="s">
        <v>74</v>
      </c>
      <c r="C98" s="24">
        <v>85000</v>
      </c>
      <c r="D98" s="7"/>
    </row>
    <row r="99" spans="1:4" x14ac:dyDescent="0.25">
      <c r="B99" s="7" t="s">
        <v>76</v>
      </c>
      <c r="C99" s="24">
        <v>65000</v>
      </c>
      <c r="D99" s="7"/>
    </row>
    <row r="100" spans="1:4" x14ac:dyDescent="0.25">
      <c r="B100" s="7" t="s">
        <v>78</v>
      </c>
      <c r="C100" s="24">
        <v>48000</v>
      </c>
      <c r="D100" s="7"/>
    </row>
    <row r="101" spans="1:4" x14ac:dyDescent="0.25">
      <c r="B101" s="7" t="s">
        <v>80</v>
      </c>
      <c r="C101" s="24">
        <v>30000</v>
      </c>
      <c r="D101" s="7"/>
    </row>
    <row r="102" spans="1:4" x14ac:dyDescent="0.25">
      <c r="B102" s="7" t="s">
        <v>82</v>
      </c>
      <c r="C102" s="24">
        <v>95000</v>
      </c>
      <c r="D102" s="7"/>
    </row>
    <row r="103" spans="1:4" x14ac:dyDescent="0.25">
      <c r="B103" s="7" t="s">
        <v>84</v>
      </c>
      <c r="C103" s="24">
        <v>72000</v>
      </c>
      <c r="D103" s="7"/>
    </row>
    <row r="104" spans="1:4" x14ac:dyDescent="0.25">
      <c r="B104" s="7" t="s">
        <v>86</v>
      </c>
      <c r="C104" s="24">
        <v>150000</v>
      </c>
      <c r="D104" s="7"/>
    </row>
    <row r="105" spans="1:4" x14ac:dyDescent="0.25">
      <c r="B105" s="7" t="s">
        <v>88</v>
      </c>
      <c r="C105" s="24">
        <v>55000</v>
      </c>
      <c r="D105" s="7"/>
    </row>
    <row r="106" spans="1:4" x14ac:dyDescent="0.25">
      <c r="B106" s="7" t="s">
        <v>90</v>
      </c>
      <c r="C106" s="24">
        <v>22000</v>
      </c>
      <c r="D106" s="7"/>
    </row>
    <row r="108" spans="1:4" ht="18" x14ac:dyDescent="0.25">
      <c r="A108" s="2" t="s">
        <v>183</v>
      </c>
    </row>
    <row r="109" spans="1:4" x14ac:dyDescent="0.25">
      <c r="B109" s="3" t="s">
        <v>168</v>
      </c>
      <c r="C109" s="3" t="s">
        <v>169</v>
      </c>
    </row>
    <row r="110" spans="1:4" x14ac:dyDescent="0.25">
      <c r="B110" s="7" t="s">
        <v>170</v>
      </c>
      <c r="C110" s="7" t="s">
        <v>171</v>
      </c>
    </row>
    <row r="111" spans="1:4" x14ac:dyDescent="0.25">
      <c r="B111" s="7" t="s">
        <v>172</v>
      </c>
      <c r="C111" s="7" t="s">
        <v>173</v>
      </c>
    </row>
    <row r="112" spans="1:4" x14ac:dyDescent="0.25">
      <c r="B112" s="7" t="s">
        <v>174</v>
      </c>
      <c r="C112" s="7" t="s">
        <v>175</v>
      </c>
    </row>
    <row r="113" spans="2:3" x14ac:dyDescent="0.25">
      <c r="B113" s="7" t="s">
        <v>176</v>
      </c>
      <c r="C113" s="7" t="s">
        <v>177</v>
      </c>
    </row>
  </sheetData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AE74-6A3B-44AE-B3E8-C0EBABF96CF4}">
  <dimension ref="A1:Q91"/>
  <sheetViews>
    <sheetView workbookViewId="0">
      <selection activeCell="G33" sqref="G33"/>
    </sheetView>
  </sheetViews>
  <sheetFormatPr defaultRowHeight="15" x14ac:dyDescent="0.25"/>
  <cols>
    <col min="1" max="1" width="15.5703125" customWidth="1"/>
    <col min="2" max="2" width="30.42578125" customWidth="1"/>
    <col min="3" max="3" width="16.7109375" customWidth="1"/>
    <col min="4" max="4" width="18" customWidth="1"/>
    <col min="5" max="5" width="20" customWidth="1"/>
    <col min="6" max="6" width="16.140625" customWidth="1"/>
    <col min="7" max="7" width="30.140625" customWidth="1"/>
    <col min="8" max="8" width="20.85546875" customWidth="1"/>
    <col min="9" max="9" width="17.85546875" customWidth="1"/>
  </cols>
  <sheetData>
    <row r="1" spans="1:17" x14ac:dyDescent="0.25">
      <c r="A1" s="49" t="s">
        <v>10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7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4" spans="1:17" x14ac:dyDescent="0.25">
      <c r="A4" t="s">
        <v>11</v>
      </c>
    </row>
    <row r="5" spans="1:17" ht="16.5" customHeight="1" x14ac:dyDescent="0.25">
      <c r="A5" t="s">
        <v>12</v>
      </c>
    </row>
    <row r="6" spans="1:17" ht="16.5" customHeight="1" x14ac:dyDescent="0.25">
      <c r="A6" t="s">
        <v>13</v>
      </c>
    </row>
    <row r="7" spans="1:17" ht="16.5" customHeight="1" x14ac:dyDescent="0.25"/>
    <row r="8" spans="1:17" ht="16.5" customHeight="1" x14ac:dyDescent="0.25">
      <c r="A8" s="5" t="s">
        <v>14</v>
      </c>
    </row>
    <row r="9" spans="1:17" ht="16.5" customHeight="1" x14ac:dyDescent="0.25">
      <c r="A9" t="s">
        <v>15</v>
      </c>
    </row>
    <row r="10" spans="1:17" ht="16.5" customHeight="1" x14ac:dyDescent="0.25">
      <c r="A10" t="s">
        <v>16</v>
      </c>
    </row>
    <row r="11" spans="1:17" ht="16.5" customHeight="1" x14ac:dyDescent="0.25">
      <c r="A11" t="s">
        <v>17</v>
      </c>
    </row>
    <row r="13" spans="1:17" x14ac:dyDescent="0.25">
      <c r="A13" s="3" t="s">
        <v>18</v>
      </c>
      <c r="B13" s="3" t="s">
        <v>6</v>
      </c>
      <c r="D13" s="3" t="s">
        <v>18</v>
      </c>
      <c r="E13" s="3" t="s">
        <v>221</v>
      </c>
      <c r="F13" s="3" t="s">
        <v>222</v>
      </c>
      <c r="G13" s="3"/>
      <c r="H13" s="30"/>
      <c r="I13" s="30"/>
    </row>
    <row r="14" spans="1:17" x14ac:dyDescent="0.25">
      <c r="A14" s="6" t="e">
        <v>#DIV/0!</v>
      </c>
      <c r="B14" s="6" t="s">
        <v>19</v>
      </c>
      <c r="D14" s="3" t="e">
        <v>#DIV/0!</v>
      </c>
      <c r="E14" s="7">
        <v>0</v>
      </c>
      <c r="F14" s="20">
        <v>100</v>
      </c>
      <c r="G14" s="25" t="e">
        <f>F14/E14</f>
        <v>#DIV/0!</v>
      </c>
      <c r="H14" s="34"/>
      <c r="I14" s="34"/>
    </row>
    <row r="15" spans="1:17" x14ac:dyDescent="0.25">
      <c r="A15" s="6" t="e">
        <v>#N/A</v>
      </c>
      <c r="B15" s="6" t="s">
        <v>20</v>
      </c>
      <c r="D15" s="3" t="e">
        <v>#N/A</v>
      </c>
      <c r="E15" s="31" t="s">
        <v>220</v>
      </c>
      <c r="F15" s="20"/>
      <c r="G15" s="25" t="e">
        <f>NA()</f>
        <v>#N/A</v>
      </c>
      <c r="H15" s="34"/>
      <c r="I15" s="34"/>
    </row>
    <row r="16" spans="1:17" x14ac:dyDescent="0.25">
      <c r="A16" s="7" t="e">
        <v>#VALUE!</v>
      </c>
      <c r="B16" s="7" t="s">
        <v>21</v>
      </c>
      <c r="D16" s="3" t="e">
        <v>#VALUE!</v>
      </c>
      <c r="E16" s="7">
        <v>1</v>
      </c>
      <c r="F16" s="20" t="s">
        <v>121</v>
      </c>
      <c r="G16" s="25" t="e">
        <f>F16*E16</f>
        <v>#VALUE!</v>
      </c>
      <c r="H16" s="34"/>
      <c r="I16" s="25" t="s">
        <v>223</v>
      </c>
      <c r="J16" s="4"/>
    </row>
    <row r="17" spans="1:13" ht="15.75" x14ac:dyDescent="0.3">
      <c r="A17" s="7" t="e">
        <v>#REF!</v>
      </c>
      <c r="B17" s="7" t="s">
        <v>22</v>
      </c>
      <c r="D17" s="3" t="e">
        <v>#REF!</v>
      </c>
      <c r="E17" s="7">
        <v>10</v>
      </c>
      <c r="F17" s="20">
        <v>20</v>
      </c>
      <c r="G17" s="33" t="s">
        <v>224</v>
      </c>
      <c r="H17" s="34"/>
      <c r="I17" s="25">
        <v>12</v>
      </c>
      <c r="J17" s="4" t="e">
        <f>I17+#REF!</f>
        <v>#REF!</v>
      </c>
    </row>
    <row r="18" spans="1:13" x14ac:dyDescent="0.25">
      <c r="A18" s="7" t="e">
        <v>#NAME?</v>
      </c>
      <c r="B18" s="7" t="s">
        <v>23</v>
      </c>
      <c r="D18" s="3" t="e">
        <v>#NAME?</v>
      </c>
      <c r="E18" s="31" t="s">
        <v>220</v>
      </c>
      <c r="F18" s="20"/>
      <c r="G18" s="25"/>
      <c r="H18" s="34"/>
      <c r="I18" s="34"/>
    </row>
    <row r="19" spans="1:13" x14ac:dyDescent="0.25">
      <c r="A19" s="7" t="e">
        <v>#NUM!</v>
      </c>
      <c r="B19" s="7" t="s">
        <v>24</v>
      </c>
      <c r="D19" s="3" t="e">
        <v>#NUM!</v>
      </c>
      <c r="E19" s="7">
        <v>-25</v>
      </c>
      <c r="F19" s="20"/>
      <c r="G19" s="25" t="e">
        <f>SQRT(E19)</f>
        <v>#NUM!</v>
      </c>
      <c r="H19" s="34"/>
      <c r="I19" s="25">
        <v>1</v>
      </c>
      <c r="J19" s="4">
        <v>4</v>
      </c>
    </row>
    <row r="20" spans="1:13" x14ac:dyDescent="0.25">
      <c r="A20" s="7" t="e">
        <v>#NULL!</v>
      </c>
      <c r="B20" s="7" t="s">
        <v>25</v>
      </c>
      <c r="D20" s="3" t="e">
        <v>#NULL!</v>
      </c>
      <c r="E20" s="7"/>
      <c r="F20" s="20"/>
      <c r="G20" s="25"/>
      <c r="H20" s="34"/>
      <c r="I20" s="25">
        <v>2</v>
      </c>
      <c r="J20" s="4">
        <v>5</v>
      </c>
    </row>
    <row r="21" spans="1:13" x14ac:dyDescent="0.25">
      <c r="A21" s="8"/>
      <c r="I21" s="25">
        <v>3</v>
      </c>
      <c r="J21" s="4">
        <v>6</v>
      </c>
    </row>
    <row r="22" spans="1:13" x14ac:dyDescent="0.25">
      <c r="I22" t="e">
        <f>SUM(I19:I21 J19:J21)</f>
        <v>#NULL!</v>
      </c>
    </row>
    <row r="23" spans="1:13" ht="15.75" x14ac:dyDescent="0.25">
      <c r="A23" s="9" t="s">
        <v>26</v>
      </c>
      <c r="B23" s="10"/>
      <c r="C23" s="10"/>
    </row>
    <row r="25" spans="1:13" x14ac:dyDescent="0.25">
      <c r="A25" s="51" t="s">
        <v>10</v>
      </c>
      <c r="B25" s="52"/>
      <c r="C25" s="52"/>
      <c r="D25" s="52"/>
      <c r="E25" s="52"/>
      <c r="F25" s="53"/>
    </row>
    <row r="26" spans="1:13" x14ac:dyDescent="0.25">
      <c r="A26" s="3" t="s">
        <v>5</v>
      </c>
      <c r="B26" s="58" t="s">
        <v>6</v>
      </c>
      <c r="C26" s="59"/>
      <c r="D26" s="59"/>
      <c r="E26" s="59"/>
      <c r="F26" s="60"/>
    </row>
    <row r="27" spans="1:13" x14ac:dyDescent="0.25">
      <c r="A27" s="4" t="s">
        <v>27</v>
      </c>
      <c r="B27" s="61" t="s">
        <v>28</v>
      </c>
      <c r="C27" s="62"/>
      <c r="D27" s="62"/>
      <c r="E27" s="62"/>
      <c r="F27" s="63"/>
    </row>
    <row r="28" spans="1:13" x14ac:dyDescent="0.25">
      <c r="A28" s="4" t="s">
        <v>29</v>
      </c>
      <c r="B28" s="61" t="s">
        <v>30</v>
      </c>
      <c r="C28" s="62"/>
      <c r="D28" s="62"/>
      <c r="E28" s="62"/>
      <c r="F28" s="63"/>
    </row>
    <row r="30" spans="1:13" x14ac:dyDescent="0.25">
      <c r="A30" s="57" t="s">
        <v>31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</row>
    <row r="31" spans="1:13" x14ac:dyDescent="0.25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</row>
    <row r="32" spans="1:13" x14ac:dyDescent="0.25">
      <c r="B32" s="8"/>
      <c r="C32" s="11"/>
      <c r="D32" s="11"/>
      <c r="E32" s="11"/>
    </row>
    <row r="33" spans="1:13" x14ac:dyDescent="0.25">
      <c r="B33" s="3" t="s">
        <v>32</v>
      </c>
      <c r="C33" s="12" t="s">
        <v>33</v>
      </c>
      <c r="D33" s="12" t="s">
        <v>34</v>
      </c>
      <c r="E33" s="12" t="s">
        <v>35</v>
      </c>
      <c r="G33" s="5" t="s">
        <v>36</v>
      </c>
    </row>
    <row r="34" spans="1:13" x14ac:dyDescent="0.25">
      <c r="B34" s="13" t="s">
        <v>37</v>
      </c>
      <c r="C34" s="14">
        <v>50000</v>
      </c>
      <c r="D34" s="14">
        <v>10</v>
      </c>
      <c r="E34" s="14">
        <f>C34/D34</f>
        <v>5000</v>
      </c>
    </row>
    <row r="35" spans="1:13" x14ac:dyDescent="0.25">
      <c r="B35" s="13" t="s">
        <v>38</v>
      </c>
      <c r="C35" s="14">
        <v>12000</v>
      </c>
      <c r="D35" s="14">
        <v>5</v>
      </c>
      <c r="E35" s="14">
        <f t="shared" ref="E35:E37" si="0">C35/D35</f>
        <v>2400</v>
      </c>
    </row>
    <row r="36" spans="1:13" x14ac:dyDescent="0.25">
      <c r="B36" s="13" t="s">
        <v>39</v>
      </c>
      <c r="C36" s="14">
        <v>15000</v>
      </c>
      <c r="D36" s="14">
        <v>0</v>
      </c>
      <c r="E36" s="14" t="e">
        <f t="shared" si="0"/>
        <v>#DIV/0!</v>
      </c>
    </row>
    <row r="37" spans="1:13" x14ac:dyDescent="0.25">
      <c r="B37" s="13" t="s">
        <v>40</v>
      </c>
      <c r="C37" s="14">
        <v>32000</v>
      </c>
      <c r="D37" s="14">
        <v>8</v>
      </c>
      <c r="E37" s="14">
        <f t="shared" si="0"/>
        <v>4000</v>
      </c>
    </row>
    <row r="41" spans="1:13" x14ac:dyDescent="0.25">
      <c r="A41" s="57" t="s">
        <v>41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</row>
    <row r="42" spans="1:13" x14ac:dyDescent="0.25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</row>
    <row r="44" spans="1:13" x14ac:dyDescent="0.25">
      <c r="B44" s="3" t="s">
        <v>32</v>
      </c>
      <c r="C44" s="12" t="s">
        <v>33</v>
      </c>
      <c r="D44" s="12" t="s">
        <v>34</v>
      </c>
      <c r="E44" s="12" t="s">
        <v>35</v>
      </c>
      <c r="G44" s="5" t="s">
        <v>36</v>
      </c>
    </row>
    <row r="45" spans="1:13" x14ac:dyDescent="0.25">
      <c r="B45" s="13" t="s">
        <v>37</v>
      </c>
      <c r="C45" s="14">
        <v>50000</v>
      </c>
      <c r="D45" s="14">
        <v>10</v>
      </c>
      <c r="E45" s="14">
        <f>IFERROR(C45/D45,"Quantity is Zero")</f>
        <v>5000</v>
      </c>
    </row>
    <row r="46" spans="1:13" x14ac:dyDescent="0.25">
      <c r="B46" s="13" t="s">
        <v>38</v>
      </c>
      <c r="C46" s="14">
        <v>12000</v>
      </c>
      <c r="D46" s="14">
        <v>5</v>
      </c>
      <c r="E46" s="14">
        <f t="shared" ref="E46:E48" si="1">IFERROR(C46/D46,"Quantity is Zero")</f>
        <v>2400</v>
      </c>
    </row>
    <row r="47" spans="1:13" x14ac:dyDescent="0.25">
      <c r="B47" s="13" t="s">
        <v>39</v>
      </c>
      <c r="C47" s="14">
        <v>15000</v>
      </c>
      <c r="D47" s="14">
        <v>0</v>
      </c>
      <c r="E47" s="14" t="str">
        <f t="shared" si="1"/>
        <v>Quantity is Zero</v>
      </c>
    </row>
    <row r="48" spans="1:13" x14ac:dyDescent="0.25">
      <c r="B48" s="13" t="s">
        <v>40</v>
      </c>
      <c r="C48" s="14">
        <v>32000</v>
      </c>
      <c r="D48" s="14">
        <v>8</v>
      </c>
      <c r="E48" s="14">
        <f t="shared" si="1"/>
        <v>4000</v>
      </c>
    </row>
    <row r="50" spans="1:13" x14ac:dyDescent="0.25">
      <c r="A50" s="57" t="s">
        <v>219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</row>
    <row r="51" spans="1:13" x14ac:dyDescent="0.2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3" spans="1:13" x14ac:dyDescent="0.25">
      <c r="A53" s="5" t="s">
        <v>212</v>
      </c>
    </row>
    <row r="55" spans="1:13" ht="18" x14ac:dyDescent="0.25">
      <c r="A55" s="2" t="s">
        <v>213</v>
      </c>
    </row>
    <row r="56" spans="1:13" x14ac:dyDescent="0.25">
      <c r="A56" t="s">
        <v>214</v>
      </c>
    </row>
    <row r="58" spans="1:13" x14ac:dyDescent="0.25">
      <c r="A58" s="5" t="s">
        <v>215</v>
      </c>
    </row>
    <row r="60" spans="1:13" x14ac:dyDescent="0.25">
      <c r="B60" s="3" t="s">
        <v>32</v>
      </c>
      <c r="C60" s="3" t="s">
        <v>205</v>
      </c>
      <c r="D60" s="3" t="s">
        <v>206</v>
      </c>
      <c r="E60" s="3" t="s">
        <v>207</v>
      </c>
      <c r="G60" s="5" t="s">
        <v>323</v>
      </c>
    </row>
    <row r="61" spans="1:13" x14ac:dyDescent="0.25">
      <c r="B61" s="7" t="s">
        <v>37</v>
      </c>
      <c r="C61" s="7">
        <v>2</v>
      </c>
      <c r="D61" s="7">
        <v>50000</v>
      </c>
      <c r="E61" s="20">
        <f>C61*D61</f>
        <v>100000</v>
      </c>
    </row>
    <row r="62" spans="1:13" x14ac:dyDescent="0.25">
      <c r="B62" s="7" t="s">
        <v>38</v>
      </c>
      <c r="C62" s="7" t="s">
        <v>208</v>
      </c>
      <c r="D62" s="7">
        <v>500</v>
      </c>
      <c r="E62" s="20" t="e">
        <f t="shared" ref="E62:E63" si="2">C62*D62</f>
        <v>#VALUE!</v>
      </c>
    </row>
    <row r="63" spans="1:13" x14ac:dyDescent="0.25">
      <c r="B63" s="7" t="s">
        <v>39</v>
      </c>
      <c r="C63" s="7">
        <v>3</v>
      </c>
      <c r="D63" s="7">
        <v>1200</v>
      </c>
      <c r="E63" s="20">
        <f t="shared" si="2"/>
        <v>3600</v>
      </c>
    </row>
    <row r="65" spans="1:7" x14ac:dyDescent="0.25">
      <c r="A65" s="5" t="s">
        <v>216</v>
      </c>
    </row>
    <row r="67" spans="1:7" x14ac:dyDescent="0.25">
      <c r="B67" s="3" t="s">
        <v>32</v>
      </c>
      <c r="C67" s="3" t="s">
        <v>205</v>
      </c>
      <c r="D67" s="3" t="s">
        <v>206</v>
      </c>
      <c r="E67" s="3" t="s">
        <v>207</v>
      </c>
    </row>
    <row r="68" spans="1:7" x14ac:dyDescent="0.25">
      <c r="B68" s="7" t="s">
        <v>37</v>
      </c>
      <c r="C68" s="7">
        <v>2</v>
      </c>
      <c r="D68" s="7">
        <v>50000</v>
      </c>
      <c r="E68" s="20">
        <f>IFERROR(C68*D68,"Invalid Input")</f>
        <v>100000</v>
      </c>
    </row>
    <row r="69" spans="1:7" x14ac:dyDescent="0.25">
      <c r="B69" s="7" t="s">
        <v>38</v>
      </c>
      <c r="C69" s="7" t="s">
        <v>208</v>
      </c>
      <c r="D69" s="7">
        <v>500</v>
      </c>
      <c r="E69" s="20" t="str">
        <f t="shared" ref="E69:E70" si="3">IFERROR(C69*D69,"Invalid Input")</f>
        <v>Invalid Input</v>
      </c>
    </row>
    <row r="70" spans="1:7" x14ac:dyDescent="0.25">
      <c r="B70" s="7" t="s">
        <v>39</v>
      </c>
      <c r="C70" s="7">
        <v>3</v>
      </c>
      <c r="D70" s="7">
        <v>1200</v>
      </c>
      <c r="E70" s="20">
        <f t="shared" si="3"/>
        <v>3600</v>
      </c>
    </row>
    <row r="72" spans="1:7" x14ac:dyDescent="0.25">
      <c r="A72" s="5" t="s">
        <v>217</v>
      </c>
    </row>
    <row r="74" spans="1:7" x14ac:dyDescent="0.25">
      <c r="A74" t="s">
        <v>213</v>
      </c>
    </row>
    <row r="75" spans="1:7" x14ac:dyDescent="0.25">
      <c r="A75" t="s">
        <v>218</v>
      </c>
    </row>
    <row r="77" spans="1:7" x14ac:dyDescent="0.25">
      <c r="A77" s="5" t="s">
        <v>215</v>
      </c>
    </row>
    <row r="79" spans="1:7" x14ac:dyDescent="0.25">
      <c r="B79" s="3" t="s">
        <v>141</v>
      </c>
      <c r="C79" s="3" t="s">
        <v>209</v>
      </c>
      <c r="D79" s="3" t="s">
        <v>210</v>
      </c>
      <c r="G79" s="5" t="s">
        <v>324</v>
      </c>
    </row>
    <row r="80" spans="1:7" x14ac:dyDescent="0.25">
      <c r="B80" s="7" t="s">
        <v>72</v>
      </c>
      <c r="C80" s="7">
        <v>65000</v>
      </c>
      <c r="D80" s="20">
        <f>IF(C80&gt;=50000,C80*10%,"No Bonus")</f>
        <v>6500</v>
      </c>
    </row>
    <row r="81" spans="1:4" x14ac:dyDescent="0.25">
      <c r="B81" s="7" t="s">
        <v>74</v>
      </c>
      <c r="C81" s="7">
        <v>42000</v>
      </c>
      <c r="D81" s="20" t="str">
        <f t="shared" ref="D81:D83" si="4">IF(C81&gt;=50000,C81*10%,"No Bonus")</f>
        <v>No Bonus</v>
      </c>
    </row>
    <row r="82" spans="1:4" x14ac:dyDescent="0.25">
      <c r="B82" s="7" t="s">
        <v>76</v>
      </c>
      <c r="C82" s="3" t="s">
        <v>211</v>
      </c>
      <c r="D82" s="20" t="e">
        <f t="shared" si="4"/>
        <v>#VALUE!</v>
      </c>
    </row>
    <row r="83" spans="1:4" x14ac:dyDescent="0.25">
      <c r="B83" s="7" t="s">
        <v>78</v>
      </c>
      <c r="C83" s="7">
        <v>78000</v>
      </c>
      <c r="D83" s="20">
        <f t="shared" si="4"/>
        <v>7800</v>
      </c>
    </row>
    <row r="85" spans="1:4" x14ac:dyDescent="0.25">
      <c r="A85" s="5" t="s">
        <v>216</v>
      </c>
    </row>
    <row r="87" spans="1:4" x14ac:dyDescent="0.25">
      <c r="B87" s="3" t="s">
        <v>141</v>
      </c>
      <c r="C87" s="3" t="s">
        <v>209</v>
      </c>
      <c r="D87" s="3" t="s">
        <v>210</v>
      </c>
    </row>
    <row r="88" spans="1:4" x14ac:dyDescent="0.25">
      <c r="B88" s="7" t="s">
        <v>72</v>
      </c>
      <c r="C88" s="7">
        <v>65000</v>
      </c>
      <c r="D88" s="20">
        <f>IFERROR(IF(C88&gt;=50000,C88*10%,"No Bonus"),"Invalid Sales")</f>
        <v>6500</v>
      </c>
    </row>
    <row r="89" spans="1:4" x14ac:dyDescent="0.25">
      <c r="B89" s="7" t="s">
        <v>74</v>
      </c>
      <c r="C89" s="7">
        <v>42000</v>
      </c>
      <c r="D89" s="20" t="str">
        <f t="shared" ref="D89:D91" si="5">IFERROR(IF(C89&gt;=50000,C89*10%,"No Bonus"),"Invalid Sales")</f>
        <v>No Bonus</v>
      </c>
    </row>
    <row r="90" spans="1:4" x14ac:dyDescent="0.25">
      <c r="B90" s="7" t="s">
        <v>76</v>
      </c>
      <c r="C90" s="3" t="s">
        <v>211</v>
      </c>
      <c r="D90" s="20" t="str">
        <f t="shared" si="5"/>
        <v>Invalid Sales</v>
      </c>
    </row>
    <row r="91" spans="1:4" x14ac:dyDescent="0.25">
      <c r="B91" s="7" t="s">
        <v>78</v>
      </c>
      <c r="C91" s="7">
        <v>78000</v>
      </c>
      <c r="D91" s="20">
        <f t="shared" si="5"/>
        <v>7800</v>
      </c>
    </row>
  </sheetData>
  <mergeCells count="8">
    <mergeCell ref="A50:M51"/>
    <mergeCell ref="A41:M42"/>
    <mergeCell ref="A1:Q2"/>
    <mergeCell ref="A25:F25"/>
    <mergeCell ref="B26:F26"/>
    <mergeCell ref="B27:F27"/>
    <mergeCell ref="B28:F28"/>
    <mergeCell ref="A30:M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BD0E-659E-403C-B3B5-B9F396DCA856}">
  <dimension ref="A1:U77"/>
  <sheetViews>
    <sheetView topLeftCell="A82" workbookViewId="0">
      <selection activeCell="O35" sqref="O35"/>
    </sheetView>
  </sheetViews>
  <sheetFormatPr defaultRowHeight="15" x14ac:dyDescent="0.25"/>
  <cols>
    <col min="1" max="1" width="16.28515625" customWidth="1"/>
    <col min="2" max="2" width="16.42578125" customWidth="1"/>
    <col min="3" max="3" width="25.7109375" customWidth="1"/>
    <col min="4" max="4" width="26.7109375" customWidth="1"/>
    <col min="5" max="5" width="28.28515625" customWidth="1"/>
    <col min="6" max="6" width="33.5703125" customWidth="1"/>
    <col min="7" max="7" width="18.7109375" customWidth="1"/>
    <col min="8" max="8" width="18" customWidth="1"/>
    <col min="9" max="9" width="20" customWidth="1"/>
    <col min="10" max="10" width="24.140625" customWidth="1"/>
    <col min="13" max="13" width="20.5703125" customWidth="1"/>
    <col min="14" max="14" width="19" customWidth="1"/>
    <col min="15" max="15" width="23.42578125" customWidth="1"/>
    <col min="16" max="16" width="21.85546875" customWidth="1"/>
    <col min="17" max="17" width="23.5703125" customWidth="1"/>
    <col min="18" max="18" width="20.5703125" customWidth="1"/>
    <col min="19" max="19" width="23.42578125" customWidth="1"/>
    <col min="20" max="20" width="24" customWidth="1"/>
    <col min="21" max="21" width="23" customWidth="1"/>
  </cols>
  <sheetData>
    <row r="1" spans="1:18" ht="15" customHeight="1" x14ac:dyDescent="0.4">
      <c r="A1" s="49" t="s">
        <v>184</v>
      </c>
      <c r="B1" s="49"/>
      <c r="C1" s="49"/>
      <c r="D1" s="49"/>
      <c r="E1" s="49"/>
      <c r="F1" s="49"/>
      <c r="G1" s="49"/>
      <c r="H1" s="49"/>
      <c r="I1" s="49"/>
      <c r="J1" s="26"/>
      <c r="K1" s="26"/>
      <c r="L1" s="26"/>
      <c r="M1" s="26"/>
      <c r="N1" s="26"/>
      <c r="O1" s="26"/>
      <c r="P1" s="26"/>
      <c r="Q1" s="26"/>
      <c r="R1" s="26"/>
    </row>
    <row r="2" spans="1:18" ht="15" customHeight="1" x14ac:dyDescent="0.4">
      <c r="A2" s="49"/>
      <c r="B2" s="49"/>
      <c r="C2" s="49"/>
      <c r="D2" s="49"/>
      <c r="E2" s="49"/>
      <c r="F2" s="49"/>
      <c r="G2" s="49"/>
      <c r="H2" s="49"/>
      <c r="I2" s="49"/>
      <c r="J2" s="26"/>
      <c r="K2" s="26"/>
      <c r="L2" s="26"/>
      <c r="M2" s="26"/>
      <c r="N2" s="26"/>
      <c r="O2" s="26"/>
      <c r="P2" s="26"/>
      <c r="Q2" s="26"/>
      <c r="R2" s="26"/>
    </row>
    <row r="4" spans="1:18" x14ac:dyDescent="0.25">
      <c r="A4" t="s">
        <v>268</v>
      </c>
    </row>
    <row r="5" spans="1:18" x14ac:dyDescent="0.25">
      <c r="A5" t="s">
        <v>276</v>
      </c>
    </row>
    <row r="7" spans="1:18" ht="18" x14ac:dyDescent="0.25">
      <c r="A7" s="2" t="s">
        <v>269</v>
      </c>
    </row>
    <row r="8" spans="1:18" x14ac:dyDescent="0.25">
      <c r="A8" t="s">
        <v>270</v>
      </c>
      <c r="E8" s="5"/>
    </row>
    <row r="9" spans="1:18" x14ac:dyDescent="0.25">
      <c r="A9" t="s">
        <v>271</v>
      </c>
      <c r="E9" s="5"/>
    </row>
    <row r="10" spans="1:18" x14ac:dyDescent="0.25">
      <c r="A10" t="s">
        <v>272</v>
      </c>
      <c r="E10" s="5"/>
    </row>
    <row r="11" spans="1:18" x14ac:dyDescent="0.25">
      <c r="A11" t="s">
        <v>273</v>
      </c>
    </row>
    <row r="12" spans="1:18" x14ac:dyDescent="0.25">
      <c r="A12" t="s">
        <v>274</v>
      </c>
    </row>
    <row r="13" spans="1:18" x14ac:dyDescent="0.25">
      <c r="A13" t="s">
        <v>275</v>
      </c>
    </row>
    <row r="16" spans="1:18" ht="15" customHeight="1" x14ac:dyDescent="0.4">
      <c r="A16" s="49" t="s">
        <v>185</v>
      </c>
      <c r="B16" s="49"/>
      <c r="C16" s="49"/>
      <c r="D16" s="49"/>
      <c r="E16" s="49"/>
      <c r="F16" s="49"/>
      <c r="G16" s="49"/>
      <c r="H16" s="49"/>
      <c r="I16" s="49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15" customHeight="1" x14ac:dyDescent="0.4">
      <c r="A17" s="49"/>
      <c r="B17" s="49"/>
      <c r="C17" s="49"/>
      <c r="D17" s="49"/>
      <c r="E17" s="49"/>
      <c r="F17" s="49"/>
      <c r="G17" s="49"/>
      <c r="H17" s="49"/>
      <c r="I17" s="49"/>
      <c r="J17" s="26"/>
      <c r="K17" s="26"/>
      <c r="L17" s="26"/>
      <c r="M17" s="26"/>
      <c r="N17" s="26"/>
      <c r="O17" s="26"/>
      <c r="P17" s="26"/>
      <c r="Q17" s="26"/>
      <c r="R17" s="26"/>
    </row>
    <row r="18" spans="1:18" x14ac:dyDescent="0.25">
      <c r="A18" t="s">
        <v>186</v>
      </c>
    </row>
    <row r="20" spans="1:18" x14ac:dyDescent="0.25">
      <c r="B20" t="s">
        <v>187</v>
      </c>
    </row>
    <row r="22" spans="1:18" x14ac:dyDescent="0.25">
      <c r="B22" s="3" t="s">
        <v>68</v>
      </c>
      <c r="C22" s="3" t="s">
        <v>69</v>
      </c>
      <c r="D22" s="3" t="s">
        <v>225</v>
      </c>
      <c r="E22" s="3" t="s">
        <v>70</v>
      </c>
      <c r="F22" s="3" t="s">
        <v>226</v>
      </c>
      <c r="G22" s="3" t="s">
        <v>227</v>
      </c>
      <c r="H22" s="3" t="s">
        <v>228</v>
      </c>
      <c r="I22" s="3" t="s">
        <v>229</v>
      </c>
    </row>
    <row r="23" spans="1:18" x14ac:dyDescent="0.25">
      <c r="B23" s="7" t="s">
        <v>230</v>
      </c>
      <c r="C23" s="7" t="s">
        <v>231</v>
      </c>
      <c r="D23" s="7" t="s">
        <v>209</v>
      </c>
      <c r="E23" s="7">
        <v>65000</v>
      </c>
      <c r="F23" s="29">
        <v>0.98</v>
      </c>
      <c r="G23" s="7" t="s">
        <v>232</v>
      </c>
      <c r="H23" s="7" t="s">
        <v>233</v>
      </c>
      <c r="I23" s="7">
        <v>4</v>
      </c>
    </row>
    <row r="24" spans="1:18" x14ac:dyDescent="0.25">
      <c r="B24" s="7" t="s">
        <v>234</v>
      </c>
      <c r="C24" s="7" t="s">
        <v>235</v>
      </c>
      <c r="D24" s="7" t="s">
        <v>209</v>
      </c>
      <c r="E24" s="7">
        <v>42000</v>
      </c>
      <c r="F24" s="29">
        <v>0.96</v>
      </c>
      <c r="G24" s="7" t="s">
        <v>233</v>
      </c>
      <c r="H24" s="7" t="s">
        <v>232</v>
      </c>
      <c r="I24" s="7">
        <v>2</v>
      </c>
    </row>
    <row r="25" spans="1:18" x14ac:dyDescent="0.25">
      <c r="B25" s="7" t="s">
        <v>236</v>
      </c>
      <c r="C25" s="7" t="s">
        <v>237</v>
      </c>
      <c r="D25" s="7" t="s">
        <v>238</v>
      </c>
      <c r="E25" s="7">
        <v>58000</v>
      </c>
      <c r="F25" s="29">
        <v>0.93</v>
      </c>
      <c r="G25" s="7" t="s">
        <v>232</v>
      </c>
      <c r="H25" s="7" t="s">
        <v>233</v>
      </c>
      <c r="I25" s="7">
        <v>5</v>
      </c>
    </row>
    <row r="26" spans="1:18" x14ac:dyDescent="0.25">
      <c r="B26" s="7" t="s">
        <v>239</v>
      </c>
      <c r="C26" s="7" t="s">
        <v>240</v>
      </c>
      <c r="D26" s="7" t="s">
        <v>241</v>
      </c>
      <c r="E26" s="7">
        <v>39000</v>
      </c>
      <c r="F26" s="29">
        <v>0.97</v>
      </c>
      <c r="G26" s="7" t="s">
        <v>232</v>
      </c>
      <c r="H26" s="7" t="s">
        <v>232</v>
      </c>
      <c r="I26" s="7">
        <v>3</v>
      </c>
    </row>
    <row r="27" spans="1:18" x14ac:dyDescent="0.25">
      <c r="B27" s="7" t="s">
        <v>242</v>
      </c>
      <c r="C27" s="7" t="s">
        <v>243</v>
      </c>
      <c r="D27" s="7" t="s">
        <v>209</v>
      </c>
      <c r="E27" s="7">
        <v>72000</v>
      </c>
      <c r="F27" s="29">
        <v>0.99</v>
      </c>
      <c r="G27" s="7" t="s">
        <v>232</v>
      </c>
      <c r="H27" s="7" t="s">
        <v>233</v>
      </c>
      <c r="I27" s="7">
        <v>6</v>
      </c>
    </row>
    <row r="28" spans="1:18" x14ac:dyDescent="0.25">
      <c r="B28" s="7" t="s">
        <v>244</v>
      </c>
      <c r="C28" s="7" t="s">
        <v>245</v>
      </c>
      <c r="D28" s="7" t="s">
        <v>238</v>
      </c>
      <c r="E28" s="7">
        <v>47000</v>
      </c>
      <c r="F28" s="29">
        <v>0.91</v>
      </c>
      <c r="G28" s="7" t="s">
        <v>233</v>
      </c>
      <c r="H28" s="7" t="s">
        <v>232</v>
      </c>
      <c r="I28" s="7">
        <v>2</v>
      </c>
    </row>
    <row r="29" spans="1:18" x14ac:dyDescent="0.25">
      <c r="B29" s="7" t="s">
        <v>246</v>
      </c>
      <c r="C29" s="7" t="s">
        <v>247</v>
      </c>
      <c r="D29" s="7" t="s">
        <v>248</v>
      </c>
      <c r="E29" s="7">
        <v>81000</v>
      </c>
      <c r="F29" s="29">
        <v>0.95</v>
      </c>
      <c r="G29" s="7" t="s">
        <v>232</v>
      </c>
      <c r="H29" s="7" t="s">
        <v>233</v>
      </c>
      <c r="I29" s="7">
        <v>7</v>
      </c>
    </row>
    <row r="30" spans="1:18" x14ac:dyDescent="0.25">
      <c r="B30" s="7" t="s">
        <v>249</v>
      </c>
      <c r="C30" s="7" t="s">
        <v>250</v>
      </c>
      <c r="D30" s="7" t="s">
        <v>241</v>
      </c>
      <c r="E30" s="7">
        <v>36000</v>
      </c>
      <c r="F30" s="29">
        <v>0.89</v>
      </c>
      <c r="G30" s="7" t="s">
        <v>233</v>
      </c>
      <c r="H30" s="7" t="s">
        <v>232</v>
      </c>
      <c r="I30" s="7">
        <v>1</v>
      </c>
    </row>
    <row r="31" spans="1:18" x14ac:dyDescent="0.25">
      <c r="B31" s="7" t="s">
        <v>251</v>
      </c>
      <c r="C31" s="7" t="s">
        <v>252</v>
      </c>
      <c r="D31" s="7" t="s">
        <v>209</v>
      </c>
      <c r="E31" s="7">
        <v>55000</v>
      </c>
      <c r="F31" s="29">
        <v>0.96</v>
      </c>
      <c r="G31" s="7" t="s">
        <v>232</v>
      </c>
      <c r="H31" s="7" t="s">
        <v>233</v>
      </c>
      <c r="I31" s="7">
        <v>4</v>
      </c>
    </row>
    <row r="32" spans="1:18" x14ac:dyDescent="0.25">
      <c r="B32" s="7" t="s">
        <v>253</v>
      </c>
      <c r="C32" s="7" t="s">
        <v>254</v>
      </c>
      <c r="D32" s="7" t="s">
        <v>238</v>
      </c>
      <c r="E32" s="7">
        <v>48000</v>
      </c>
      <c r="F32" s="29">
        <v>0.94</v>
      </c>
      <c r="G32" s="7" t="s">
        <v>233</v>
      </c>
      <c r="H32" s="7" t="s">
        <v>233</v>
      </c>
      <c r="I32" s="7">
        <v>3</v>
      </c>
    </row>
    <row r="34" spans="1:21" x14ac:dyDescent="0.25">
      <c r="A34" s="5" t="s">
        <v>255</v>
      </c>
    </row>
    <row r="35" spans="1:21" x14ac:dyDescent="0.25">
      <c r="A35" s="39" t="s">
        <v>278</v>
      </c>
      <c r="B35" s="36" t="s">
        <v>277</v>
      </c>
      <c r="O35" t="s">
        <v>280</v>
      </c>
    </row>
    <row r="36" spans="1:21" x14ac:dyDescent="0.25">
      <c r="A36" s="36"/>
    </row>
    <row r="37" spans="1:21" x14ac:dyDescent="0.25">
      <c r="A37" s="36"/>
      <c r="B37" s="3" t="s">
        <v>68</v>
      </c>
      <c r="C37" s="3" t="s">
        <v>69</v>
      </c>
      <c r="D37" s="3" t="s">
        <v>225</v>
      </c>
      <c r="E37" s="3" t="s">
        <v>70</v>
      </c>
      <c r="F37" s="3" t="s">
        <v>226</v>
      </c>
      <c r="G37" s="3" t="s">
        <v>227</v>
      </c>
      <c r="H37" s="3" t="s">
        <v>228</v>
      </c>
      <c r="I37" s="3" t="s">
        <v>229</v>
      </c>
      <c r="J37" s="32" t="s">
        <v>258</v>
      </c>
      <c r="M37" s="3" t="s">
        <v>68</v>
      </c>
      <c r="N37" s="3" t="s">
        <v>69</v>
      </c>
      <c r="O37" s="3" t="s">
        <v>225</v>
      </c>
      <c r="P37" s="3" t="s">
        <v>70</v>
      </c>
      <c r="Q37" s="3" t="s">
        <v>226</v>
      </c>
      <c r="R37" s="3" t="s">
        <v>227</v>
      </c>
      <c r="S37" s="3" t="s">
        <v>228</v>
      </c>
      <c r="T37" s="3" t="s">
        <v>229</v>
      </c>
      <c r="U37" s="32" t="s">
        <v>258</v>
      </c>
    </row>
    <row r="38" spans="1:21" x14ac:dyDescent="0.25">
      <c r="B38" s="7" t="s">
        <v>230</v>
      </c>
      <c r="C38" s="7" t="s">
        <v>231</v>
      </c>
      <c r="D38" s="7" t="s">
        <v>209</v>
      </c>
      <c r="E38" s="7">
        <v>65000</v>
      </c>
      <c r="F38" s="29">
        <v>0.98</v>
      </c>
      <c r="G38" s="7" t="s">
        <v>232</v>
      </c>
      <c r="H38" s="7" t="s">
        <v>233</v>
      </c>
      <c r="I38" s="7">
        <v>4</v>
      </c>
      <c r="J38" s="4" t="b">
        <f>AND(E38&gt;=50000,F38&gt;=95%)</f>
        <v>1</v>
      </c>
      <c r="M38" s="7" t="s">
        <v>230</v>
      </c>
      <c r="N38" s="7" t="s">
        <v>231</v>
      </c>
      <c r="O38" s="7" t="s">
        <v>209</v>
      </c>
      <c r="P38" s="7">
        <v>65000</v>
      </c>
      <c r="Q38" s="29">
        <v>0.98</v>
      </c>
      <c r="R38" s="7" t="s">
        <v>232</v>
      </c>
      <c r="S38" s="7" t="s">
        <v>233</v>
      </c>
      <c r="T38" s="7">
        <v>4</v>
      </c>
      <c r="U38" s="6" t="str">
        <f>IF(AND(P38&gt;=5000,Q38&gt;=95%),"Eligible","Not Eligible")</f>
        <v>Eligible</v>
      </c>
    </row>
    <row r="39" spans="1:21" x14ac:dyDescent="0.25">
      <c r="A39" s="5"/>
      <c r="B39" s="7" t="s">
        <v>234</v>
      </c>
      <c r="C39" s="7" t="s">
        <v>235</v>
      </c>
      <c r="D39" s="7" t="s">
        <v>209</v>
      </c>
      <c r="E39" s="7">
        <v>42000</v>
      </c>
      <c r="F39" s="29">
        <v>0.96</v>
      </c>
      <c r="G39" s="7" t="s">
        <v>233</v>
      </c>
      <c r="H39" s="7" t="s">
        <v>232</v>
      </c>
      <c r="I39" s="7">
        <v>2</v>
      </c>
      <c r="J39" s="4" t="b">
        <f t="shared" ref="J39:J47" si="0">AND(E39&gt;=50000,F39&gt;=95%)</f>
        <v>0</v>
      </c>
      <c r="M39" s="7" t="s">
        <v>234</v>
      </c>
      <c r="N39" s="7" t="s">
        <v>235</v>
      </c>
      <c r="O39" s="7" t="s">
        <v>209</v>
      </c>
      <c r="P39" s="7">
        <v>42000</v>
      </c>
      <c r="Q39" s="29">
        <v>0.96</v>
      </c>
      <c r="R39" s="7" t="s">
        <v>233</v>
      </c>
      <c r="S39" s="7" t="s">
        <v>232</v>
      </c>
      <c r="T39" s="7">
        <v>2</v>
      </c>
      <c r="U39" s="6" t="str">
        <f t="shared" ref="U39:U47" si="1">IF(AND(P39&gt;=5000,Q39&gt;=95%),"Eligible","Not Eligible")</f>
        <v>Eligible</v>
      </c>
    </row>
    <row r="40" spans="1:21" x14ac:dyDescent="0.25">
      <c r="B40" s="7" t="s">
        <v>236</v>
      </c>
      <c r="C40" s="7" t="s">
        <v>237</v>
      </c>
      <c r="D40" s="7" t="s">
        <v>238</v>
      </c>
      <c r="E40" s="7">
        <v>58000</v>
      </c>
      <c r="F40" s="29">
        <v>0.93</v>
      </c>
      <c r="G40" s="7" t="s">
        <v>232</v>
      </c>
      <c r="H40" s="7" t="s">
        <v>233</v>
      </c>
      <c r="I40" s="7">
        <v>5</v>
      </c>
      <c r="J40" s="4" t="b">
        <f t="shared" si="0"/>
        <v>0</v>
      </c>
      <c r="M40" s="7" t="s">
        <v>236</v>
      </c>
      <c r="N40" s="7" t="s">
        <v>237</v>
      </c>
      <c r="O40" s="7" t="s">
        <v>238</v>
      </c>
      <c r="P40" s="7">
        <v>58000</v>
      </c>
      <c r="Q40" s="29">
        <v>0.93</v>
      </c>
      <c r="R40" s="7" t="s">
        <v>232</v>
      </c>
      <c r="S40" s="7" t="s">
        <v>233</v>
      </c>
      <c r="T40" s="7">
        <v>5</v>
      </c>
      <c r="U40" s="6" t="str">
        <f t="shared" si="1"/>
        <v>Not Eligible</v>
      </c>
    </row>
    <row r="41" spans="1:21" x14ac:dyDescent="0.25">
      <c r="B41" s="7" t="s">
        <v>239</v>
      </c>
      <c r="C41" s="7" t="s">
        <v>240</v>
      </c>
      <c r="D41" s="7" t="s">
        <v>241</v>
      </c>
      <c r="E41" s="7">
        <v>39000</v>
      </c>
      <c r="F41" s="29">
        <v>0.97</v>
      </c>
      <c r="G41" s="7" t="s">
        <v>232</v>
      </c>
      <c r="H41" s="7" t="s">
        <v>232</v>
      </c>
      <c r="I41" s="7">
        <v>3</v>
      </c>
      <c r="J41" s="4" t="b">
        <f t="shared" si="0"/>
        <v>0</v>
      </c>
      <c r="M41" s="7" t="s">
        <v>239</v>
      </c>
      <c r="N41" s="7" t="s">
        <v>240</v>
      </c>
      <c r="O41" s="7" t="s">
        <v>241</v>
      </c>
      <c r="P41" s="7">
        <v>39000</v>
      </c>
      <c r="Q41" s="29">
        <v>0.97</v>
      </c>
      <c r="R41" s="7" t="s">
        <v>232</v>
      </c>
      <c r="S41" s="7" t="s">
        <v>232</v>
      </c>
      <c r="T41" s="7">
        <v>3</v>
      </c>
      <c r="U41" s="6" t="str">
        <f t="shared" si="1"/>
        <v>Eligible</v>
      </c>
    </row>
    <row r="42" spans="1:21" x14ac:dyDescent="0.25">
      <c r="B42" s="7" t="s">
        <v>242</v>
      </c>
      <c r="C42" s="7" t="s">
        <v>243</v>
      </c>
      <c r="D42" s="7" t="s">
        <v>209</v>
      </c>
      <c r="E42" s="7">
        <v>72000</v>
      </c>
      <c r="F42" s="29">
        <v>0.99</v>
      </c>
      <c r="G42" s="7" t="s">
        <v>232</v>
      </c>
      <c r="H42" s="7" t="s">
        <v>233</v>
      </c>
      <c r="I42" s="7">
        <v>6</v>
      </c>
      <c r="J42" s="4" t="b">
        <f t="shared" si="0"/>
        <v>1</v>
      </c>
      <c r="M42" s="7" t="s">
        <v>242</v>
      </c>
      <c r="N42" s="7" t="s">
        <v>243</v>
      </c>
      <c r="O42" s="7" t="s">
        <v>209</v>
      </c>
      <c r="P42" s="7">
        <v>72000</v>
      </c>
      <c r="Q42" s="29">
        <v>0.99</v>
      </c>
      <c r="R42" s="7" t="s">
        <v>232</v>
      </c>
      <c r="S42" s="7" t="s">
        <v>233</v>
      </c>
      <c r="T42" s="7">
        <v>6</v>
      </c>
      <c r="U42" s="6" t="str">
        <f t="shared" si="1"/>
        <v>Eligible</v>
      </c>
    </row>
    <row r="43" spans="1:21" x14ac:dyDescent="0.25">
      <c r="B43" s="7" t="s">
        <v>244</v>
      </c>
      <c r="C43" s="7" t="s">
        <v>245</v>
      </c>
      <c r="D43" s="7" t="s">
        <v>238</v>
      </c>
      <c r="E43" s="7">
        <v>47000</v>
      </c>
      <c r="F43" s="29">
        <v>0.91</v>
      </c>
      <c r="G43" s="7" t="s">
        <v>233</v>
      </c>
      <c r="H43" s="7" t="s">
        <v>232</v>
      </c>
      <c r="I43" s="7">
        <v>2</v>
      </c>
      <c r="J43" s="4" t="b">
        <f t="shared" si="0"/>
        <v>0</v>
      </c>
      <c r="M43" s="7" t="s">
        <v>244</v>
      </c>
      <c r="N43" s="7" t="s">
        <v>245</v>
      </c>
      <c r="O43" s="7" t="s">
        <v>238</v>
      </c>
      <c r="P43" s="7">
        <v>47000</v>
      </c>
      <c r="Q43" s="29">
        <v>0.91</v>
      </c>
      <c r="R43" s="7" t="s">
        <v>233</v>
      </c>
      <c r="S43" s="7" t="s">
        <v>232</v>
      </c>
      <c r="T43" s="7">
        <v>2</v>
      </c>
      <c r="U43" s="6" t="str">
        <f t="shared" si="1"/>
        <v>Not Eligible</v>
      </c>
    </row>
    <row r="44" spans="1:21" x14ac:dyDescent="0.25">
      <c r="B44" s="7" t="s">
        <v>246</v>
      </c>
      <c r="C44" s="7" t="s">
        <v>247</v>
      </c>
      <c r="D44" s="7" t="s">
        <v>248</v>
      </c>
      <c r="E44" s="7">
        <v>81000</v>
      </c>
      <c r="F44" s="29">
        <v>0.95</v>
      </c>
      <c r="G44" s="7" t="s">
        <v>232</v>
      </c>
      <c r="H44" s="7" t="s">
        <v>233</v>
      </c>
      <c r="I44" s="7">
        <v>7</v>
      </c>
      <c r="J44" s="4" t="b">
        <f t="shared" si="0"/>
        <v>1</v>
      </c>
      <c r="M44" s="7" t="s">
        <v>246</v>
      </c>
      <c r="N44" s="7" t="s">
        <v>247</v>
      </c>
      <c r="O44" s="7" t="s">
        <v>248</v>
      </c>
      <c r="P44" s="7">
        <v>81000</v>
      </c>
      <c r="Q44" s="29">
        <v>0.95</v>
      </c>
      <c r="R44" s="7" t="s">
        <v>232</v>
      </c>
      <c r="S44" s="7" t="s">
        <v>233</v>
      </c>
      <c r="T44" s="7">
        <v>7</v>
      </c>
      <c r="U44" s="6" t="str">
        <f t="shared" si="1"/>
        <v>Eligible</v>
      </c>
    </row>
    <row r="45" spans="1:21" x14ac:dyDescent="0.25">
      <c r="B45" s="7" t="s">
        <v>249</v>
      </c>
      <c r="C45" s="7" t="s">
        <v>250</v>
      </c>
      <c r="D45" s="7" t="s">
        <v>241</v>
      </c>
      <c r="E45" s="7">
        <v>36000</v>
      </c>
      <c r="F45" s="29">
        <v>0.89</v>
      </c>
      <c r="G45" s="7" t="s">
        <v>233</v>
      </c>
      <c r="H45" s="7" t="s">
        <v>232</v>
      </c>
      <c r="I45" s="7">
        <v>1</v>
      </c>
      <c r="J45" s="4" t="b">
        <f t="shared" si="0"/>
        <v>0</v>
      </c>
      <c r="M45" s="7" t="s">
        <v>249</v>
      </c>
      <c r="N45" s="7" t="s">
        <v>250</v>
      </c>
      <c r="O45" s="7" t="s">
        <v>241</v>
      </c>
      <c r="P45" s="7">
        <v>36000</v>
      </c>
      <c r="Q45" s="29">
        <v>0.89</v>
      </c>
      <c r="R45" s="7" t="s">
        <v>233</v>
      </c>
      <c r="S45" s="7" t="s">
        <v>232</v>
      </c>
      <c r="T45" s="7">
        <v>1</v>
      </c>
      <c r="U45" s="6" t="str">
        <f t="shared" si="1"/>
        <v>Not Eligible</v>
      </c>
    </row>
    <row r="46" spans="1:21" x14ac:dyDescent="0.25">
      <c r="B46" s="7" t="s">
        <v>251</v>
      </c>
      <c r="C46" s="7" t="s">
        <v>252</v>
      </c>
      <c r="D46" s="7" t="s">
        <v>209</v>
      </c>
      <c r="E46" s="7">
        <v>55000</v>
      </c>
      <c r="F46" s="29">
        <v>0.96</v>
      </c>
      <c r="G46" s="7" t="s">
        <v>232</v>
      </c>
      <c r="H46" s="7" t="s">
        <v>233</v>
      </c>
      <c r="I46" s="7">
        <v>4</v>
      </c>
      <c r="J46" s="4" t="b">
        <f t="shared" si="0"/>
        <v>1</v>
      </c>
      <c r="M46" s="7" t="s">
        <v>251</v>
      </c>
      <c r="N46" s="7" t="s">
        <v>252</v>
      </c>
      <c r="O46" s="7" t="s">
        <v>209</v>
      </c>
      <c r="P46" s="7">
        <v>55000</v>
      </c>
      <c r="Q46" s="29">
        <v>0.96</v>
      </c>
      <c r="R46" s="7" t="s">
        <v>232</v>
      </c>
      <c r="S46" s="7" t="s">
        <v>233</v>
      </c>
      <c r="T46" s="7">
        <v>4</v>
      </c>
      <c r="U46" s="6" t="str">
        <f t="shared" si="1"/>
        <v>Eligible</v>
      </c>
    </row>
    <row r="47" spans="1:21" x14ac:dyDescent="0.25">
      <c r="B47" s="7" t="s">
        <v>253</v>
      </c>
      <c r="C47" s="7" t="s">
        <v>254</v>
      </c>
      <c r="D47" s="7" t="s">
        <v>238</v>
      </c>
      <c r="E47" s="7">
        <v>48000</v>
      </c>
      <c r="F47" s="29">
        <v>0.94</v>
      </c>
      <c r="G47" s="7" t="s">
        <v>233</v>
      </c>
      <c r="H47" s="7" t="s">
        <v>233</v>
      </c>
      <c r="I47" s="7">
        <v>3</v>
      </c>
      <c r="J47" s="4" t="b">
        <f t="shared" si="0"/>
        <v>0</v>
      </c>
      <c r="M47" s="7" t="s">
        <v>253</v>
      </c>
      <c r="N47" s="7" t="s">
        <v>254</v>
      </c>
      <c r="O47" s="7" t="s">
        <v>238</v>
      </c>
      <c r="P47" s="7">
        <v>48000</v>
      </c>
      <c r="Q47" s="29">
        <v>0.94</v>
      </c>
      <c r="R47" s="7" t="s">
        <v>233</v>
      </c>
      <c r="S47" s="7" t="s">
        <v>233</v>
      </c>
      <c r="T47" s="7">
        <v>3</v>
      </c>
      <c r="U47" s="6" t="str">
        <f t="shared" si="1"/>
        <v>Not Eligible</v>
      </c>
    </row>
    <row r="49" spans="1:21" x14ac:dyDescent="0.25">
      <c r="A49" s="5" t="s">
        <v>279</v>
      </c>
    </row>
    <row r="50" spans="1:21" x14ac:dyDescent="0.25">
      <c r="A50" t="s">
        <v>256</v>
      </c>
    </row>
    <row r="51" spans="1:21" x14ac:dyDescent="0.25">
      <c r="A51" t="s">
        <v>257</v>
      </c>
    </row>
    <row r="52" spans="1:21" x14ac:dyDescent="0.25">
      <c r="O52" t="s">
        <v>280</v>
      </c>
    </row>
    <row r="54" spans="1:21" x14ac:dyDescent="0.25">
      <c r="B54" s="3" t="s">
        <v>68</v>
      </c>
      <c r="C54" s="3" t="s">
        <v>69</v>
      </c>
      <c r="D54" s="3" t="s">
        <v>225</v>
      </c>
      <c r="E54" s="3" t="s">
        <v>70</v>
      </c>
      <c r="F54" s="3" t="s">
        <v>226</v>
      </c>
      <c r="G54" s="3" t="s">
        <v>227</v>
      </c>
      <c r="H54" s="3" t="s">
        <v>228</v>
      </c>
      <c r="I54" s="3" t="s">
        <v>229</v>
      </c>
      <c r="J54" s="32" t="s">
        <v>259</v>
      </c>
      <c r="M54" s="3" t="s">
        <v>68</v>
      </c>
      <c r="N54" s="3" t="s">
        <v>69</v>
      </c>
      <c r="O54" s="3" t="s">
        <v>225</v>
      </c>
      <c r="P54" s="3" t="s">
        <v>70</v>
      </c>
      <c r="Q54" s="3" t="s">
        <v>226</v>
      </c>
      <c r="R54" s="3" t="s">
        <v>227</v>
      </c>
      <c r="S54" s="3" t="s">
        <v>228</v>
      </c>
      <c r="T54" s="3" t="s">
        <v>229</v>
      </c>
      <c r="U54" s="32" t="s">
        <v>259</v>
      </c>
    </row>
    <row r="55" spans="1:21" x14ac:dyDescent="0.25">
      <c r="B55" s="7" t="s">
        <v>230</v>
      </c>
      <c r="C55" s="7" t="s">
        <v>231</v>
      </c>
      <c r="D55" s="7" t="s">
        <v>209</v>
      </c>
      <c r="E55" s="7">
        <v>65000</v>
      </c>
      <c r="F55" s="29">
        <v>0.98</v>
      </c>
      <c r="G55" s="7" t="s">
        <v>232</v>
      </c>
      <c r="H55" s="7" t="s">
        <v>233</v>
      </c>
      <c r="I55" s="7">
        <v>4</v>
      </c>
      <c r="J55" s="6"/>
      <c r="M55" s="7" t="s">
        <v>230</v>
      </c>
      <c r="N55" s="7" t="s">
        <v>231</v>
      </c>
      <c r="O55" s="7" t="s">
        <v>209</v>
      </c>
      <c r="P55" s="7">
        <v>65000</v>
      </c>
      <c r="Q55" s="29">
        <v>0.98</v>
      </c>
      <c r="R55" s="7" t="s">
        <v>232</v>
      </c>
      <c r="S55" s="7" t="s">
        <v>233</v>
      </c>
      <c r="T55" s="7">
        <v>4</v>
      </c>
      <c r="U55" s="6"/>
    </row>
    <row r="56" spans="1:21" x14ac:dyDescent="0.25">
      <c r="B56" s="7" t="s">
        <v>234</v>
      </c>
      <c r="C56" s="7" t="s">
        <v>235</v>
      </c>
      <c r="D56" s="7" t="s">
        <v>209</v>
      </c>
      <c r="E56" s="7">
        <v>42000</v>
      </c>
      <c r="F56" s="29">
        <v>0.96</v>
      </c>
      <c r="G56" s="7" t="s">
        <v>233</v>
      </c>
      <c r="H56" s="7" t="s">
        <v>232</v>
      </c>
      <c r="I56" s="7">
        <v>2</v>
      </c>
      <c r="J56" s="6"/>
      <c r="M56" s="7" t="s">
        <v>234</v>
      </c>
      <c r="N56" s="7" t="s">
        <v>235</v>
      </c>
      <c r="O56" s="7" t="s">
        <v>209</v>
      </c>
      <c r="P56" s="7">
        <v>42000</v>
      </c>
      <c r="Q56" s="29">
        <v>0.96</v>
      </c>
      <c r="R56" s="7" t="s">
        <v>233</v>
      </c>
      <c r="S56" s="7" t="s">
        <v>232</v>
      </c>
      <c r="T56" s="7">
        <v>2</v>
      </c>
      <c r="U56" s="6"/>
    </row>
    <row r="57" spans="1:21" x14ac:dyDescent="0.25">
      <c r="B57" s="7" t="s">
        <v>236</v>
      </c>
      <c r="C57" s="7" t="s">
        <v>237</v>
      </c>
      <c r="D57" s="7" t="s">
        <v>238</v>
      </c>
      <c r="E57" s="7">
        <v>58000</v>
      </c>
      <c r="F57" s="29">
        <v>0.93</v>
      </c>
      <c r="G57" s="7" t="s">
        <v>232</v>
      </c>
      <c r="H57" s="7" t="s">
        <v>233</v>
      </c>
      <c r="I57" s="7">
        <v>5</v>
      </c>
      <c r="J57" s="6"/>
      <c r="M57" s="7" t="s">
        <v>236</v>
      </c>
      <c r="N57" s="7" t="s">
        <v>237</v>
      </c>
      <c r="O57" s="7" t="s">
        <v>238</v>
      </c>
      <c r="P57" s="7">
        <v>58000</v>
      </c>
      <c r="Q57" s="29">
        <v>0.93</v>
      </c>
      <c r="R57" s="7" t="s">
        <v>232</v>
      </c>
      <c r="S57" s="7" t="s">
        <v>233</v>
      </c>
      <c r="T57" s="7">
        <v>5</v>
      </c>
      <c r="U57" s="6"/>
    </row>
    <row r="58" spans="1:21" x14ac:dyDescent="0.25">
      <c r="B58" s="7" t="s">
        <v>239</v>
      </c>
      <c r="C58" s="7" t="s">
        <v>240</v>
      </c>
      <c r="D58" s="7" t="s">
        <v>241</v>
      </c>
      <c r="E58" s="7">
        <v>39000</v>
      </c>
      <c r="F58" s="29">
        <v>0.97</v>
      </c>
      <c r="G58" s="7" t="s">
        <v>232</v>
      </c>
      <c r="H58" s="7" t="s">
        <v>232</v>
      </c>
      <c r="I58" s="7">
        <v>3</v>
      </c>
      <c r="J58" s="6"/>
      <c r="M58" s="7" t="s">
        <v>239</v>
      </c>
      <c r="N58" s="7" t="s">
        <v>240</v>
      </c>
      <c r="O58" s="7" t="s">
        <v>241</v>
      </c>
      <c r="P58" s="7">
        <v>39000</v>
      </c>
      <c r="Q58" s="29">
        <v>0.97</v>
      </c>
      <c r="R58" s="7" t="s">
        <v>232</v>
      </c>
      <c r="S58" s="7" t="s">
        <v>232</v>
      </c>
      <c r="T58" s="7">
        <v>3</v>
      </c>
      <c r="U58" s="6"/>
    </row>
    <row r="59" spans="1:21" x14ac:dyDescent="0.25">
      <c r="B59" s="7" t="s">
        <v>242</v>
      </c>
      <c r="C59" s="7" t="s">
        <v>243</v>
      </c>
      <c r="D59" s="7" t="s">
        <v>209</v>
      </c>
      <c r="E59" s="7">
        <v>72000</v>
      </c>
      <c r="F59" s="29">
        <v>0.99</v>
      </c>
      <c r="G59" s="7" t="s">
        <v>232</v>
      </c>
      <c r="H59" s="7" t="s">
        <v>233</v>
      </c>
      <c r="I59" s="7">
        <v>6</v>
      </c>
      <c r="J59" s="6"/>
      <c r="M59" s="7" t="s">
        <v>242</v>
      </c>
      <c r="N59" s="7" t="s">
        <v>243</v>
      </c>
      <c r="O59" s="7" t="s">
        <v>209</v>
      </c>
      <c r="P59" s="7">
        <v>72000</v>
      </c>
      <c r="Q59" s="29">
        <v>0.99</v>
      </c>
      <c r="R59" s="7" t="s">
        <v>232</v>
      </c>
      <c r="S59" s="7" t="s">
        <v>233</v>
      </c>
      <c r="T59" s="7">
        <v>6</v>
      </c>
      <c r="U59" s="6"/>
    </row>
    <row r="60" spans="1:21" x14ac:dyDescent="0.25">
      <c r="B60" s="7" t="s">
        <v>244</v>
      </c>
      <c r="C60" s="7" t="s">
        <v>245</v>
      </c>
      <c r="D60" s="7" t="s">
        <v>238</v>
      </c>
      <c r="E60" s="7">
        <v>47000</v>
      </c>
      <c r="F60" s="29">
        <v>0.91</v>
      </c>
      <c r="G60" s="7" t="s">
        <v>233</v>
      </c>
      <c r="H60" s="7" t="s">
        <v>232</v>
      </c>
      <c r="I60" s="7">
        <v>2</v>
      </c>
      <c r="J60" s="6"/>
      <c r="M60" s="7" t="s">
        <v>244</v>
      </c>
      <c r="N60" s="7" t="s">
        <v>245</v>
      </c>
      <c r="O60" s="7" t="s">
        <v>238</v>
      </c>
      <c r="P60" s="7">
        <v>47000</v>
      </c>
      <c r="Q60" s="29">
        <v>0.91</v>
      </c>
      <c r="R60" s="7" t="s">
        <v>233</v>
      </c>
      <c r="S60" s="7" t="s">
        <v>232</v>
      </c>
      <c r="T60" s="7">
        <v>2</v>
      </c>
      <c r="U60" s="6"/>
    </row>
    <row r="61" spans="1:21" x14ac:dyDescent="0.25">
      <c r="B61" s="7" t="s">
        <v>246</v>
      </c>
      <c r="C61" s="7" t="s">
        <v>247</v>
      </c>
      <c r="D61" s="7" t="s">
        <v>248</v>
      </c>
      <c r="E61" s="7">
        <v>81000</v>
      </c>
      <c r="F61" s="29">
        <v>0.95</v>
      </c>
      <c r="G61" s="7" t="s">
        <v>232</v>
      </c>
      <c r="H61" s="7" t="s">
        <v>233</v>
      </c>
      <c r="I61" s="7">
        <v>7</v>
      </c>
      <c r="J61" s="6"/>
      <c r="M61" s="7" t="s">
        <v>246</v>
      </c>
      <c r="N61" s="7" t="s">
        <v>247</v>
      </c>
      <c r="O61" s="7" t="s">
        <v>248</v>
      </c>
      <c r="P61" s="7">
        <v>81000</v>
      </c>
      <c r="Q61" s="29">
        <v>0.95</v>
      </c>
      <c r="R61" s="7" t="s">
        <v>232</v>
      </c>
      <c r="S61" s="7" t="s">
        <v>233</v>
      </c>
      <c r="T61" s="7">
        <v>7</v>
      </c>
      <c r="U61" s="6"/>
    </row>
    <row r="62" spans="1:21" x14ac:dyDescent="0.25">
      <c r="B62" s="7" t="s">
        <v>249</v>
      </c>
      <c r="C62" s="7" t="s">
        <v>250</v>
      </c>
      <c r="D62" s="7" t="s">
        <v>241</v>
      </c>
      <c r="E62" s="7">
        <v>36000</v>
      </c>
      <c r="F62" s="29">
        <v>0.89</v>
      </c>
      <c r="G62" s="7" t="s">
        <v>233</v>
      </c>
      <c r="H62" s="7" t="s">
        <v>232</v>
      </c>
      <c r="I62" s="7">
        <v>1</v>
      </c>
      <c r="J62" s="6"/>
      <c r="M62" s="7" t="s">
        <v>249</v>
      </c>
      <c r="N62" s="7" t="s">
        <v>250</v>
      </c>
      <c r="O62" s="7" t="s">
        <v>241</v>
      </c>
      <c r="P62" s="7">
        <v>36000</v>
      </c>
      <c r="Q62" s="29">
        <v>0.89</v>
      </c>
      <c r="R62" s="7" t="s">
        <v>233</v>
      </c>
      <c r="S62" s="7" t="s">
        <v>232</v>
      </c>
      <c r="T62" s="7">
        <v>1</v>
      </c>
      <c r="U62" s="6"/>
    </row>
    <row r="63" spans="1:21" x14ac:dyDescent="0.25">
      <c r="B63" s="7" t="s">
        <v>251</v>
      </c>
      <c r="C63" s="7" t="s">
        <v>252</v>
      </c>
      <c r="D63" s="7" t="s">
        <v>209</v>
      </c>
      <c r="E63" s="7">
        <v>55000</v>
      </c>
      <c r="F63" s="29">
        <v>0.96</v>
      </c>
      <c r="G63" s="7" t="s">
        <v>232</v>
      </c>
      <c r="H63" s="7" t="s">
        <v>233</v>
      </c>
      <c r="I63" s="7">
        <v>4</v>
      </c>
      <c r="J63" s="6"/>
      <c r="M63" s="7" t="s">
        <v>251</v>
      </c>
      <c r="N63" s="7" t="s">
        <v>252</v>
      </c>
      <c r="O63" s="7" t="s">
        <v>209</v>
      </c>
      <c r="P63" s="7">
        <v>55000</v>
      </c>
      <c r="Q63" s="29">
        <v>0.96</v>
      </c>
      <c r="R63" s="7" t="s">
        <v>232</v>
      </c>
      <c r="S63" s="7" t="s">
        <v>233</v>
      </c>
      <c r="T63" s="7">
        <v>4</v>
      </c>
      <c r="U63" s="6"/>
    </row>
    <row r="64" spans="1:21" x14ac:dyDescent="0.25">
      <c r="B64" s="7" t="s">
        <v>253</v>
      </c>
      <c r="C64" s="7" t="s">
        <v>254</v>
      </c>
      <c r="D64" s="7" t="s">
        <v>238</v>
      </c>
      <c r="E64" s="7">
        <v>48000</v>
      </c>
      <c r="F64" s="29">
        <v>0.94</v>
      </c>
      <c r="G64" s="7" t="s">
        <v>233</v>
      </c>
      <c r="H64" s="7" t="s">
        <v>233</v>
      </c>
      <c r="I64" s="7">
        <v>3</v>
      </c>
      <c r="J64" s="6"/>
      <c r="M64" s="7" t="s">
        <v>253</v>
      </c>
      <c r="N64" s="7" t="s">
        <v>254</v>
      </c>
      <c r="O64" s="7" t="s">
        <v>238</v>
      </c>
      <c r="P64" s="7">
        <v>48000</v>
      </c>
      <c r="Q64" s="29">
        <v>0.94</v>
      </c>
      <c r="R64" s="7" t="s">
        <v>233</v>
      </c>
      <c r="S64" s="7" t="s">
        <v>233</v>
      </c>
      <c r="T64" s="7">
        <v>3</v>
      </c>
      <c r="U64" s="6"/>
    </row>
    <row r="67" spans="1:18" ht="15" customHeight="1" x14ac:dyDescent="0.4">
      <c r="A67" s="49" t="s">
        <v>188</v>
      </c>
      <c r="B67" s="49"/>
      <c r="C67" s="49"/>
      <c r="D67" s="49"/>
      <c r="E67" s="49"/>
      <c r="F67" s="49"/>
      <c r="G67" s="49"/>
      <c r="H67" s="49"/>
      <c r="I67" s="49"/>
      <c r="J67" s="49"/>
      <c r="K67" s="26"/>
      <c r="L67" s="26"/>
      <c r="M67" s="26"/>
      <c r="N67" s="26"/>
      <c r="O67" s="26"/>
      <c r="P67" s="26"/>
      <c r="Q67" s="26"/>
      <c r="R67" s="26"/>
    </row>
    <row r="68" spans="1:18" ht="15" customHeight="1" x14ac:dyDescent="0.4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26"/>
      <c r="L68" s="26"/>
      <c r="M68" s="26"/>
      <c r="N68" s="26"/>
      <c r="O68" s="26"/>
      <c r="P68" s="26"/>
      <c r="Q68" s="26"/>
      <c r="R68" s="26"/>
    </row>
    <row r="69" spans="1:18" x14ac:dyDescent="0.25">
      <c r="B69" s="30"/>
      <c r="C69" s="30"/>
      <c r="D69" s="30"/>
    </row>
    <row r="70" spans="1:18" x14ac:dyDescent="0.25">
      <c r="D70" s="15" t="s">
        <v>189</v>
      </c>
      <c r="E70" s="15" t="s">
        <v>190</v>
      </c>
      <c r="F70" s="15" t="s">
        <v>46</v>
      </c>
    </row>
    <row r="71" spans="1:18" x14ac:dyDescent="0.25">
      <c r="D71" s="15" t="s">
        <v>191</v>
      </c>
      <c r="E71" s="15" t="s">
        <v>192</v>
      </c>
      <c r="F71" s="13" t="s">
        <v>193</v>
      </c>
    </row>
    <row r="72" spans="1:18" x14ac:dyDescent="0.25">
      <c r="D72" s="15" t="s">
        <v>194</v>
      </c>
      <c r="E72" s="15" t="s">
        <v>195</v>
      </c>
      <c r="F72" s="13" t="s">
        <v>196</v>
      </c>
    </row>
    <row r="73" spans="1:18" x14ac:dyDescent="0.25">
      <c r="D73" s="15" t="s">
        <v>197</v>
      </c>
      <c r="E73" s="13" t="s">
        <v>198</v>
      </c>
      <c r="F73" s="13" t="s">
        <v>199</v>
      </c>
    </row>
    <row r="75" spans="1:18" x14ac:dyDescent="0.25">
      <c r="D75" s="5" t="s">
        <v>284</v>
      </c>
    </row>
    <row r="76" spans="1:18" x14ac:dyDescent="0.25">
      <c r="D76" s="5" t="s">
        <v>285</v>
      </c>
    </row>
    <row r="77" spans="1:18" x14ac:dyDescent="0.25">
      <c r="D77" s="5" t="s">
        <v>286</v>
      </c>
    </row>
  </sheetData>
  <mergeCells count="3">
    <mergeCell ref="A1:I2"/>
    <mergeCell ref="A16:I17"/>
    <mergeCell ref="A67:J6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F7C8-F9EC-400F-A167-60154C1F362F}">
  <dimension ref="A1:T48"/>
  <sheetViews>
    <sheetView topLeftCell="A22" workbookViewId="0">
      <selection activeCell="C36" sqref="C36"/>
    </sheetView>
  </sheetViews>
  <sheetFormatPr defaultColWidth="19.85546875" defaultRowHeight="15" x14ac:dyDescent="0.25"/>
  <cols>
    <col min="1" max="2" width="26.85546875" style="1" customWidth="1"/>
    <col min="3" max="16384" width="19.85546875" style="1"/>
  </cols>
  <sheetData>
    <row r="1" spans="1:18" ht="15" customHeight="1" x14ac:dyDescent="0.4">
      <c r="A1" s="49" t="s">
        <v>200</v>
      </c>
      <c r="B1" s="49"/>
      <c r="C1" s="49"/>
      <c r="D1" s="49"/>
      <c r="E1" s="49"/>
      <c r="F1" s="49"/>
      <c r="G1" s="49"/>
      <c r="H1" s="49"/>
      <c r="I1" s="49"/>
      <c r="J1" s="26"/>
      <c r="K1" s="26"/>
      <c r="L1" s="26"/>
      <c r="M1" s="26"/>
      <c r="N1" s="26"/>
      <c r="O1" s="26"/>
      <c r="P1" s="26"/>
      <c r="Q1" s="26"/>
      <c r="R1" s="26"/>
    </row>
    <row r="2" spans="1:18" ht="15" customHeight="1" x14ac:dyDescent="0.4">
      <c r="A2" s="49"/>
      <c r="B2" s="49"/>
      <c r="C2" s="49"/>
      <c r="D2" s="49"/>
      <c r="E2" s="49"/>
      <c r="F2" s="49"/>
      <c r="G2" s="49"/>
      <c r="H2" s="49"/>
      <c r="I2" s="49"/>
      <c r="J2" s="26"/>
      <c r="K2" s="26"/>
      <c r="L2" s="26"/>
      <c r="M2" s="26"/>
      <c r="N2" s="26"/>
      <c r="O2" s="26"/>
      <c r="P2" s="26"/>
      <c r="Q2" s="26"/>
      <c r="R2" s="26"/>
    </row>
    <row r="4" spans="1:18" x14ac:dyDescent="0.25">
      <c r="A4" s="38" t="s">
        <v>267</v>
      </c>
    </row>
    <row r="5" spans="1:18" x14ac:dyDescent="0.25">
      <c r="B5" s="1" t="s">
        <v>201</v>
      </c>
    </row>
    <row r="7" spans="1:18" x14ac:dyDescent="0.25">
      <c r="A7"/>
      <c r="B7" s="3" t="s">
        <v>68</v>
      </c>
      <c r="C7" s="3" t="s">
        <v>69</v>
      </c>
      <c r="D7" s="3" t="s">
        <v>225</v>
      </c>
      <c r="E7" s="3" t="s">
        <v>70</v>
      </c>
      <c r="F7" s="3" t="s">
        <v>226</v>
      </c>
      <c r="G7" s="3" t="s">
        <v>227</v>
      </c>
      <c r="H7" s="3" t="s">
        <v>228</v>
      </c>
      <c r="I7" s="3" t="s">
        <v>229</v>
      </c>
    </row>
    <row r="8" spans="1:18" x14ac:dyDescent="0.25">
      <c r="A8"/>
      <c r="B8" s="7" t="s">
        <v>230</v>
      </c>
      <c r="C8" s="7" t="s">
        <v>231</v>
      </c>
      <c r="D8" s="7" t="s">
        <v>209</v>
      </c>
      <c r="E8" s="7">
        <v>65000</v>
      </c>
      <c r="F8" s="29">
        <v>0.98</v>
      </c>
      <c r="G8" s="7" t="s">
        <v>232</v>
      </c>
      <c r="H8" s="7" t="s">
        <v>233</v>
      </c>
      <c r="I8" s="7">
        <v>4</v>
      </c>
    </row>
    <row r="9" spans="1:18" x14ac:dyDescent="0.25">
      <c r="A9"/>
      <c r="B9" s="7" t="s">
        <v>234</v>
      </c>
      <c r="C9" s="7" t="s">
        <v>235</v>
      </c>
      <c r="D9" s="7" t="s">
        <v>209</v>
      </c>
      <c r="E9" s="7">
        <v>42000</v>
      </c>
      <c r="F9" s="29">
        <v>0.96</v>
      </c>
      <c r="G9" s="7" t="s">
        <v>233</v>
      </c>
      <c r="H9" s="7" t="s">
        <v>232</v>
      </c>
      <c r="I9" s="7">
        <v>2</v>
      </c>
    </row>
    <row r="10" spans="1:18" x14ac:dyDescent="0.25">
      <c r="A10"/>
      <c r="B10" s="7" t="s">
        <v>236</v>
      </c>
      <c r="C10" s="7" t="s">
        <v>237</v>
      </c>
      <c r="D10" s="7" t="s">
        <v>238</v>
      </c>
      <c r="E10" s="7">
        <v>58000</v>
      </c>
      <c r="F10" s="29">
        <v>0.93</v>
      </c>
      <c r="G10" s="7" t="s">
        <v>232</v>
      </c>
      <c r="H10" s="7" t="s">
        <v>233</v>
      </c>
      <c r="I10" s="7">
        <v>5</v>
      </c>
    </row>
    <row r="11" spans="1:18" x14ac:dyDescent="0.25">
      <c r="A11"/>
      <c r="B11" s="7" t="s">
        <v>239</v>
      </c>
      <c r="C11" s="7" t="s">
        <v>240</v>
      </c>
      <c r="D11" s="7" t="s">
        <v>241</v>
      </c>
      <c r="E11" s="7">
        <v>39000</v>
      </c>
      <c r="F11" s="29">
        <v>0.97</v>
      </c>
      <c r="G11" s="7" t="s">
        <v>232</v>
      </c>
      <c r="H11" s="7" t="s">
        <v>232</v>
      </c>
      <c r="I11" s="7">
        <v>3</v>
      </c>
    </row>
    <row r="12" spans="1:18" x14ac:dyDescent="0.25">
      <c r="A12"/>
      <c r="B12" s="7" t="s">
        <v>242</v>
      </c>
      <c r="C12" s="7" t="s">
        <v>243</v>
      </c>
      <c r="D12" s="7" t="s">
        <v>209</v>
      </c>
      <c r="E12" s="7">
        <v>72000</v>
      </c>
      <c r="F12" s="29">
        <v>0.99</v>
      </c>
      <c r="G12" s="7" t="s">
        <v>232</v>
      </c>
      <c r="H12" s="7" t="s">
        <v>233</v>
      </c>
      <c r="I12" s="7">
        <v>6</v>
      </c>
    </row>
    <row r="13" spans="1:18" x14ac:dyDescent="0.25">
      <c r="A13"/>
      <c r="B13" s="7" t="s">
        <v>244</v>
      </c>
      <c r="C13" s="7" t="s">
        <v>245</v>
      </c>
      <c r="D13" s="7" t="s">
        <v>238</v>
      </c>
      <c r="E13" s="7">
        <v>47000</v>
      </c>
      <c r="F13" s="29">
        <v>0.91</v>
      </c>
      <c r="G13" s="7" t="s">
        <v>233</v>
      </c>
      <c r="H13" s="7" t="s">
        <v>232</v>
      </c>
      <c r="I13" s="7">
        <v>2</v>
      </c>
    </row>
    <row r="14" spans="1:18" x14ac:dyDescent="0.25">
      <c r="A14"/>
      <c r="B14" s="7" t="s">
        <v>246</v>
      </c>
      <c r="C14" s="7" t="s">
        <v>247</v>
      </c>
      <c r="D14" s="7" t="s">
        <v>248</v>
      </c>
      <c r="E14" s="7">
        <v>81000</v>
      </c>
      <c r="F14" s="29">
        <v>0.95</v>
      </c>
      <c r="G14" s="7" t="s">
        <v>232</v>
      </c>
      <c r="H14" s="7" t="s">
        <v>233</v>
      </c>
      <c r="I14" s="7">
        <v>7</v>
      </c>
    </row>
    <row r="15" spans="1:18" x14ac:dyDescent="0.25">
      <c r="A15"/>
      <c r="B15" s="7" t="s">
        <v>249</v>
      </c>
      <c r="C15" s="7" t="s">
        <v>250</v>
      </c>
      <c r="D15" s="7" t="s">
        <v>241</v>
      </c>
      <c r="E15" s="7">
        <v>36000</v>
      </c>
      <c r="F15" s="29">
        <v>0.89</v>
      </c>
      <c r="G15" s="7" t="s">
        <v>233</v>
      </c>
      <c r="H15" s="7" t="s">
        <v>232</v>
      </c>
      <c r="I15" s="7">
        <v>1</v>
      </c>
    </row>
    <row r="16" spans="1:18" x14ac:dyDescent="0.25">
      <c r="A16"/>
      <c r="B16" s="7" t="s">
        <v>251</v>
      </c>
      <c r="C16" s="7" t="s">
        <v>252</v>
      </c>
      <c r="D16" s="7" t="s">
        <v>209</v>
      </c>
      <c r="E16" s="7">
        <v>55000</v>
      </c>
      <c r="F16" s="29">
        <v>0.96</v>
      </c>
      <c r="G16" s="7" t="s">
        <v>232</v>
      </c>
      <c r="H16" s="7" t="s">
        <v>233</v>
      </c>
      <c r="I16" s="7">
        <v>4</v>
      </c>
    </row>
    <row r="17" spans="1:20" x14ac:dyDescent="0.25">
      <c r="A17"/>
      <c r="B17" s="7" t="s">
        <v>253</v>
      </c>
      <c r="C17" s="7" t="s">
        <v>254</v>
      </c>
      <c r="D17" s="7" t="s">
        <v>238</v>
      </c>
      <c r="E17" s="7">
        <v>48000</v>
      </c>
      <c r="F17" s="29">
        <v>0.94</v>
      </c>
      <c r="G17" s="7" t="s">
        <v>233</v>
      </c>
      <c r="H17" s="7" t="s">
        <v>233</v>
      </c>
      <c r="I17" s="7">
        <v>3</v>
      </c>
    </row>
    <row r="20" spans="1:20" x14ac:dyDescent="0.25">
      <c r="A20" s="5" t="s">
        <v>260</v>
      </c>
    </row>
    <row r="21" spans="1:20" x14ac:dyDescent="0.25">
      <c r="A21" t="s">
        <v>261</v>
      </c>
      <c r="B21" s="36" t="s">
        <v>262</v>
      </c>
      <c r="N21" s="5" t="s">
        <v>315</v>
      </c>
    </row>
    <row r="23" spans="1:20" x14ac:dyDescent="0.25">
      <c r="B23" s="3" t="s">
        <v>68</v>
      </c>
      <c r="C23" s="3" t="s">
        <v>69</v>
      </c>
      <c r="D23" s="3" t="s">
        <v>225</v>
      </c>
      <c r="E23" s="3" t="s">
        <v>70</v>
      </c>
      <c r="F23" s="3" t="s">
        <v>226</v>
      </c>
      <c r="G23" s="3" t="s">
        <v>227</v>
      </c>
      <c r="H23" s="3" t="s">
        <v>228</v>
      </c>
      <c r="I23" s="3" t="s">
        <v>229</v>
      </c>
      <c r="J23" s="32" t="s">
        <v>259</v>
      </c>
      <c r="L23" s="3" t="s">
        <v>68</v>
      </c>
      <c r="M23" s="3" t="s">
        <v>69</v>
      </c>
      <c r="N23" s="3" t="s">
        <v>225</v>
      </c>
      <c r="O23" s="3" t="s">
        <v>70</v>
      </c>
      <c r="P23" s="3" t="s">
        <v>226</v>
      </c>
      <c r="Q23" s="3" t="s">
        <v>227</v>
      </c>
      <c r="R23" s="3" t="s">
        <v>228</v>
      </c>
      <c r="S23" s="3" t="s">
        <v>229</v>
      </c>
      <c r="T23" s="32" t="s">
        <v>259</v>
      </c>
    </row>
    <row r="24" spans="1:20" x14ac:dyDescent="0.25">
      <c r="B24" s="7" t="s">
        <v>230</v>
      </c>
      <c r="C24" s="7" t="s">
        <v>231</v>
      </c>
      <c r="D24" s="7" t="s">
        <v>209</v>
      </c>
      <c r="E24" s="7">
        <v>65000</v>
      </c>
      <c r="F24" s="29">
        <v>0.98</v>
      </c>
      <c r="G24" s="7" t="s">
        <v>232</v>
      </c>
      <c r="H24" s="7" t="s">
        <v>233</v>
      </c>
      <c r="I24" s="7">
        <v>4</v>
      </c>
      <c r="J24" s="6"/>
      <c r="L24" s="7" t="s">
        <v>230</v>
      </c>
      <c r="M24" s="7" t="s">
        <v>231</v>
      </c>
      <c r="N24" s="7" t="s">
        <v>209</v>
      </c>
      <c r="O24" s="7">
        <v>65000</v>
      </c>
      <c r="P24" s="29">
        <v>0.98</v>
      </c>
      <c r="Q24" s="7" t="s">
        <v>232</v>
      </c>
      <c r="R24" s="7" t="s">
        <v>233</v>
      </c>
      <c r="S24" s="7">
        <v>4</v>
      </c>
      <c r="T24" s="6"/>
    </row>
    <row r="25" spans="1:20" x14ac:dyDescent="0.25">
      <c r="B25" s="7" t="s">
        <v>234</v>
      </c>
      <c r="C25" s="7" t="s">
        <v>235</v>
      </c>
      <c r="D25" s="7" t="s">
        <v>209</v>
      </c>
      <c r="E25" s="7">
        <v>42000</v>
      </c>
      <c r="F25" s="29">
        <v>0.96</v>
      </c>
      <c r="G25" s="7" t="s">
        <v>233</v>
      </c>
      <c r="H25" s="7" t="s">
        <v>232</v>
      </c>
      <c r="I25" s="7">
        <v>2</v>
      </c>
      <c r="J25" s="6"/>
      <c r="L25" s="7" t="s">
        <v>234</v>
      </c>
      <c r="M25" s="7" t="s">
        <v>235</v>
      </c>
      <c r="N25" s="7" t="s">
        <v>209</v>
      </c>
      <c r="O25" s="7">
        <v>42000</v>
      </c>
      <c r="P25" s="29">
        <v>0.96</v>
      </c>
      <c r="Q25" s="7" t="s">
        <v>233</v>
      </c>
      <c r="R25" s="7" t="s">
        <v>232</v>
      </c>
      <c r="S25" s="7">
        <v>2</v>
      </c>
      <c r="T25" s="6"/>
    </row>
    <row r="26" spans="1:20" x14ac:dyDescent="0.25">
      <c r="B26" s="7" t="s">
        <v>236</v>
      </c>
      <c r="C26" s="7" t="s">
        <v>237</v>
      </c>
      <c r="D26" s="7" t="s">
        <v>238</v>
      </c>
      <c r="E26" s="7">
        <v>58000</v>
      </c>
      <c r="F26" s="29">
        <v>0.93</v>
      </c>
      <c r="G26" s="7" t="s">
        <v>232</v>
      </c>
      <c r="H26" s="7" t="s">
        <v>233</v>
      </c>
      <c r="I26" s="7">
        <v>5</v>
      </c>
      <c r="J26" s="6"/>
      <c r="L26" s="7" t="s">
        <v>236</v>
      </c>
      <c r="M26" s="7" t="s">
        <v>237</v>
      </c>
      <c r="N26" s="7" t="s">
        <v>238</v>
      </c>
      <c r="O26" s="7">
        <v>58000</v>
      </c>
      <c r="P26" s="29">
        <v>0.93</v>
      </c>
      <c r="Q26" s="7" t="s">
        <v>232</v>
      </c>
      <c r="R26" s="7" t="s">
        <v>233</v>
      </c>
      <c r="S26" s="7">
        <v>5</v>
      </c>
      <c r="T26" s="6"/>
    </row>
    <row r="27" spans="1:20" x14ac:dyDescent="0.25">
      <c r="B27" s="7" t="s">
        <v>239</v>
      </c>
      <c r="C27" s="7" t="s">
        <v>240</v>
      </c>
      <c r="D27" s="7" t="s">
        <v>241</v>
      </c>
      <c r="E27" s="7">
        <v>39000</v>
      </c>
      <c r="F27" s="29">
        <v>0.97</v>
      </c>
      <c r="G27" s="7" t="s">
        <v>232</v>
      </c>
      <c r="H27" s="7" t="s">
        <v>232</v>
      </c>
      <c r="I27" s="7">
        <v>3</v>
      </c>
      <c r="J27" s="6"/>
      <c r="L27" s="7" t="s">
        <v>239</v>
      </c>
      <c r="M27" s="7" t="s">
        <v>240</v>
      </c>
      <c r="N27" s="7" t="s">
        <v>241</v>
      </c>
      <c r="O27" s="7">
        <v>39000</v>
      </c>
      <c r="P27" s="29">
        <v>0.97</v>
      </c>
      <c r="Q27" s="7" t="s">
        <v>232</v>
      </c>
      <c r="R27" s="7" t="s">
        <v>232</v>
      </c>
      <c r="S27" s="7">
        <v>3</v>
      </c>
      <c r="T27" s="6"/>
    </row>
    <row r="28" spans="1:20" x14ac:dyDescent="0.25">
      <c r="B28" s="7" t="s">
        <v>242</v>
      </c>
      <c r="C28" s="7" t="s">
        <v>243</v>
      </c>
      <c r="D28" s="7" t="s">
        <v>209</v>
      </c>
      <c r="E28" s="7">
        <v>72000</v>
      </c>
      <c r="F28" s="29">
        <v>0.99</v>
      </c>
      <c r="G28" s="7" t="s">
        <v>232</v>
      </c>
      <c r="H28" s="7" t="s">
        <v>233</v>
      </c>
      <c r="I28" s="7">
        <v>6</v>
      </c>
      <c r="J28" s="6"/>
      <c r="L28" s="7" t="s">
        <v>242</v>
      </c>
      <c r="M28" s="7" t="s">
        <v>243</v>
      </c>
      <c r="N28" s="7" t="s">
        <v>209</v>
      </c>
      <c r="O28" s="7">
        <v>72000</v>
      </c>
      <c r="P28" s="29">
        <v>0.99</v>
      </c>
      <c r="Q28" s="7" t="s">
        <v>232</v>
      </c>
      <c r="R28" s="7" t="s">
        <v>233</v>
      </c>
      <c r="S28" s="7">
        <v>6</v>
      </c>
      <c r="T28" s="6"/>
    </row>
    <row r="29" spans="1:20" x14ac:dyDescent="0.25">
      <c r="B29" s="7" t="s">
        <v>244</v>
      </c>
      <c r="C29" s="7" t="s">
        <v>245</v>
      </c>
      <c r="D29" s="7" t="s">
        <v>238</v>
      </c>
      <c r="E29" s="7">
        <v>47000</v>
      </c>
      <c r="F29" s="29">
        <v>0.91</v>
      </c>
      <c r="G29" s="7" t="s">
        <v>233</v>
      </c>
      <c r="H29" s="7" t="s">
        <v>232</v>
      </c>
      <c r="I29" s="7">
        <v>2</v>
      </c>
      <c r="J29" s="6"/>
      <c r="L29" s="7" t="s">
        <v>244</v>
      </c>
      <c r="M29" s="7" t="s">
        <v>245</v>
      </c>
      <c r="N29" s="7" t="s">
        <v>238</v>
      </c>
      <c r="O29" s="7">
        <v>47000</v>
      </c>
      <c r="P29" s="29">
        <v>0.91</v>
      </c>
      <c r="Q29" s="7" t="s">
        <v>233</v>
      </c>
      <c r="R29" s="7" t="s">
        <v>232</v>
      </c>
      <c r="S29" s="7">
        <v>2</v>
      </c>
      <c r="T29" s="6"/>
    </row>
    <row r="30" spans="1:20" x14ac:dyDescent="0.25">
      <c r="B30" s="7" t="s">
        <v>246</v>
      </c>
      <c r="C30" s="7" t="s">
        <v>247</v>
      </c>
      <c r="D30" s="7" t="s">
        <v>248</v>
      </c>
      <c r="E30" s="7">
        <v>81000</v>
      </c>
      <c r="F30" s="29">
        <v>0.95</v>
      </c>
      <c r="G30" s="7" t="s">
        <v>232</v>
      </c>
      <c r="H30" s="7" t="s">
        <v>233</v>
      </c>
      <c r="I30" s="7">
        <v>7</v>
      </c>
      <c r="J30" s="6"/>
      <c r="L30" s="7" t="s">
        <v>246</v>
      </c>
      <c r="M30" s="7" t="s">
        <v>247</v>
      </c>
      <c r="N30" s="7" t="s">
        <v>248</v>
      </c>
      <c r="O30" s="7">
        <v>81000</v>
      </c>
      <c r="P30" s="29">
        <v>0.95</v>
      </c>
      <c r="Q30" s="7" t="s">
        <v>232</v>
      </c>
      <c r="R30" s="7" t="s">
        <v>233</v>
      </c>
      <c r="S30" s="7">
        <v>7</v>
      </c>
      <c r="T30" s="6"/>
    </row>
    <row r="31" spans="1:20" x14ac:dyDescent="0.25">
      <c r="B31" s="7" t="s">
        <v>249</v>
      </c>
      <c r="C31" s="7" t="s">
        <v>250</v>
      </c>
      <c r="D31" s="7" t="s">
        <v>241</v>
      </c>
      <c r="E31" s="7">
        <v>36000</v>
      </c>
      <c r="F31" s="29">
        <v>0.89</v>
      </c>
      <c r="G31" s="7" t="s">
        <v>233</v>
      </c>
      <c r="H31" s="7" t="s">
        <v>232</v>
      </c>
      <c r="I31" s="7">
        <v>1</v>
      </c>
      <c r="J31" s="6"/>
      <c r="L31" s="7" t="s">
        <v>249</v>
      </c>
      <c r="M31" s="7" t="s">
        <v>250</v>
      </c>
      <c r="N31" s="7" t="s">
        <v>241</v>
      </c>
      <c r="O31" s="7">
        <v>36000</v>
      </c>
      <c r="P31" s="29">
        <v>0.89</v>
      </c>
      <c r="Q31" s="7" t="s">
        <v>233</v>
      </c>
      <c r="R31" s="7" t="s">
        <v>232</v>
      </c>
      <c r="S31" s="7">
        <v>1</v>
      </c>
      <c r="T31" s="6"/>
    </row>
    <row r="32" spans="1:20" x14ac:dyDescent="0.25">
      <c r="B32" s="7" t="s">
        <v>251</v>
      </c>
      <c r="C32" s="7" t="s">
        <v>252</v>
      </c>
      <c r="D32" s="7" t="s">
        <v>209</v>
      </c>
      <c r="E32" s="7">
        <v>55000</v>
      </c>
      <c r="F32" s="29">
        <v>0.96</v>
      </c>
      <c r="G32" s="7" t="s">
        <v>232</v>
      </c>
      <c r="H32" s="7" t="s">
        <v>233</v>
      </c>
      <c r="I32" s="7">
        <v>4</v>
      </c>
      <c r="J32" s="6"/>
      <c r="L32" s="7" t="s">
        <v>251</v>
      </c>
      <c r="M32" s="7" t="s">
        <v>252</v>
      </c>
      <c r="N32" s="7" t="s">
        <v>209</v>
      </c>
      <c r="O32" s="7">
        <v>55000</v>
      </c>
      <c r="P32" s="29">
        <v>0.96</v>
      </c>
      <c r="Q32" s="7" t="s">
        <v>232</v>
      </c>
      <c r="R32" s="7" t="s">
        <v>233</v>
      </c>
      <c r="S32" s="7">
        <v>4</v>
      </c>
      <c r="T32" s="6"/>
    </row>
    <row r="33" spans="1:20" x14ac:dyDescent="0.25">
      <c r="B33" s="7" t="s">
        <v>253</v>
      </c>
      <c r="C33" s="7" t="s">
        <v>254</v>
      </c>
      <c r="D33" s="7" t="s">
        <v>238</v>
      </c>
      <c r="E33" s="7">
        <v>48000</v>
      </c>
      <c r="F33" s="29">
        <v>0.94</v>
      </c>
      <c r="G33" s="7" t="s">
        <v>233</v>
      </c>
      <c r="H33" s="7" t="s">
        <v>233</v>
      </c>
      <c r="I33" s="7">
        <v>3</v>
      </c>
      <c r="J33" s="6"/>
      <c r="L33" s="7" t="s">
        <v>253</v>
      </c>
      <c r="M33" s="7" t="s">
        <v>254</v>
      </c>
      <c r="N33" s="7" t="s">
        <v>238</v>
      </c>
      <c r="O33" s="7">
        <v>48000</v>
      </c>
      <c r="P33" s="29">
        <v>0.94</v>
      </c>
      <c r="Q33" s="7" t="s">
        <v>233</v>
      </c>
      <c r="R33" s="7" t="s">
        <v>233</v>
      </c>
      <c r="S33" s="7">
        <v>3</v>
      </c>
      <c r="T33" s="6"/>
    </row>
    <row r="35" spans="1:20" x14ac:dyDescent="0.25">
      <c r="A35" s="5" t="s">
        <v>263</v>
      </c>
    </row>
    <row r="36" spans="1:20" x14ac:dyDescent="0.25">
      <c r="A36" s="1" t="s">
        <v>264</v>
      </c>
      <c r="B36" s="45" t="s">
        <v>265</v>
      </c>
    </row>
    <row r="38" spans="1:20" x14ac:dyDescent="0.25">
      <c r="B38" s="3" t="s">
        <v>68</v>
      </c>
      <c r="C38" s="3" t="s">
        <v>69</v>
      </c>
      <c r="D38" s="3" t="s">
        <v>225</v>
      </c>
      <c r="E38" s="3" t="s">
        <v>70</v>
      </c>
      <c r="F38" s="3" t="s">
        <v>226</v>
      </c>
      <c r="G38" s="3" t="s">
        <v>227</v>
      </c>
      <c r="H38" s="3" t="s">
        <v>228</v>
      </c>
      <c r="I38" s="3" t="s">
        <v>229</v>
      </c>
      <c r="J38" s="37" t="s">
        <v>266</v>
      </c>
      <c r="L38" s="3" t="s">
        <v>68</v>
      </c>
      <c r="M38" s="3" t="s">
        <v>69</v>
      </c>
      <c r="N38" s="3" t="s">
        <v>225</v>
      </c>
      <c r="O38" s="3" t="s">
        <v>70</v>
      </c>
      <c r="P38" s="3" t="s">
        <v>226</v>
      </c>
      <c r="Q38" s="3" t="s">
        <v>227</v>
      </c>
      <c r="R38" s="3" t="s">
        <v>228</v>
      </c>
      <c r="S38" s="3" t="s">
        <v>229</v>
      </c>
      <c r="T38" s="37" t="s">
        <v>266</v>
      </c>
    </row>
    <row r="39" spans="1:20" x14ac:dyDescent="0.25">
      <c r="B39" s="7" t="s">
        <v>230</v>
      </c>
      <c r="C39" s="7" t="s">
        <v>231</v>
      </c>
      <c r="D39" s="7" t="s">
        <v>209</v>
      </c>
      <c r="E39" s="7">
        <v>65000</v>
      </c>
      <c r="F39" s="29">
        <v>0.98</v>
      </c>
      <c r="G39" s="7" t="s">
        <v>232</v>
      </c>
      <c r="H39" s="7" t="s">
        <v>233</v>
      </c>
      <c r="I39" s="7">
        <v>4</v>
      </c>
      <c r="J39" s="6"/>
      <c r="L39" s="7" t="s">
        <v>230</v>
      </c>
      <c r="M39" s="7" t="s">
        <v>231</v>
      </c>
      <c r="N39" s="7" t="s">
        <v>209</v>
      </c>
      <c r="O39" s="7">
        <v>65000</v>
      </c>
      <c r="P39" s="29">
        <v>0.98</v>
      </c>
      <c r="Q39" s="7" t="s">
        <v>232</v>
      </c>
      <c r="R39" s="7" t="s">
        <v>233</v>
      </c>
      <c r="S39" s="7">
        <v>4</v>
      </c>
      <c r="T39" s="6"/>
    </row>
    <row r="40" spans="1:20" x14ac:dyDescent="0.25">
      <c r="B40" s="7" t="s">
        <v>234</v>
      </c>
      <c r="C40" s="7" t="s">
        <v>235</v>
      </c>
      <c r="D40" s="7" t="s">
        <v>209</v>
      </c>
      <c r="E40" s="7">
        <v>42000</v>
      </c>
      <c r="F40" s="29">
        <v>0.96</v>
      </c>
      <c r="G40" s="7" t="s">
        <v>233</v>
      </c>
      <c r="H40" s="7" t="s">
        <v>232</v>
      </c>
      <c r="I40" s="7">
        <v>2</v>
      </c>
      <c r="J40" s="6"/>
      <c r="L40" s="7" t="s">
        <v>234</v>
      </c>
      <c r="M40" s="7" t="s">
        <v>235</v>
      </c>
      <c r="N40" s="7" t="s">
        <v>209</v>
      </c>
      <c r="O40" s="7">
        <v>42000</v>
      </c>
      <c r="P40" s="29">
        <v>0.96</v>
      </c>
      <c r="Q40" s="7" t="s">
        <v>233</v>
      </c>
      <c r="R40" s="7" t="s">
        <v>232</v>
      </c>
      <c r="S40" s="7">
        <v>2</v>
      </c>
      <c r="T40" s="6"/>
    </row>
    <row r="41" spans="1:20" x14ac:dyDescent="0.25">
      <c r="B41" s="7" t="s">
        <v>236</v>
      </c>
      <c r="C41" s="7" t="s">
        <v>237</v>
      </c>
      <c r="D41" s="7" t="s">
        <v>238</v>
      </c>
      <c r="E41" s="7">
        <v>58000</v>
      </c>
      <c r="F41" s="29">
        <v>0.93</v>
      </c>
      <c r="G41" s="7" t="s">
        <v>232</v>
      </c>
      <c r="H41" s="7" t="s">
        <v>233</v>
      </c>
      <c r="I41" s="7">
        <v>5</v>
      </c>
      <c r="J41" s="6"/>
      <c r="L41" s="7" t="s">
        <v>236</v>
      </c>
      <c r="M41" s="7" t="s">
        <v>237</v>
      </c>
      <c r="N41" s="7" t="s">
        <v>238</v>
      </c>
      <c r="O41" s="7">
        <v>58000</v>
      </c>
      <c r="P41" s="29">
        <v>0.93</v>
      </c>
      <c r="Q41" s="7" t="s">
        <v>232</v>
      </c>
      <c r="R41" s="7" t="s">
        <v>233</v>
      </c>
      <c r="S41" s="7">
        <v>5</v>
      </c>
      <c r="T41" s="6"/>
    </row>
    <row r="42" spans="1:20" x14ac:dyDescent="0.25">
      <c r="B42" s="7" t="s">
        <v>239</v>
      </c>
      <c r="C42" s="7" t="s">
        <v>240</v>
      </c>
      <c r="D42" s="7" t="s">
        <v>241</v>
      </c>
      <c r="E42" s="7">
        <v>39000</v>
      </c>
      <c r="F42" s="29">
        <v>0.97</v>
      </c>
      <c r="G42" s="7" t="s">
        <v>232</v>
      </c>
      <c r="H42" s="7" t="s">
        <v>232</v>
      </c>
      <c r="I42" s="7">
        <v>3</v>
      </c>
      <c r="J42" s="6"/>
      <c r="L42" s="7" t="s">
        <v>239</v>
      </c>
      <c r="M42" s="7" t="s">
        <v>240</v>
      </c>
      <c r="N42" s="7" t="s">
        <v>241</v>
      </c>
      <c r="O42" s="7">
        <v>39000</v>
      </c>
      <c r="P42" s="29">
        <v>0.97</v>
      </c>
      <c r="Q42" s="7" t="s">
        <v>232</v>
      </c>
      <c r="R42" s="7" t="s">
        <v>232</v>
      </c>
      <c r="S42" s="7">
        <v>3</v>
      </c>
      <c r="T42" s="6"/>
    </row>
    <row r="43" spans="1:20" x14ac:dyDescent="0.25">
      <c r="B43" s="7" t="s">
        <v>242</v>
      </c>
      <c r="C43" s="7" t="s">
        <v>243</v>
      </c>
      <c r="D43" s="7" t="s">
        <v>209</v>
      </c>
      <c r="E43" s="7">
        <v>72000</v>
      </c>
      <c r="F43" s="29">
        <v>0.99</v>
      </c>
      <c r="G43" s="7" t="s">
        <v>232</v>
      </c>
      <c r="H43" s="7" t="s">
        <v>233</v>
      </c>
      <c r="I43" s="7">
        <v>6</v>
      </c>
      <c r="J43" s="6"/>
      <c r="L43" s="7" t="s">
        <v>242</v>
      </c>
      <c r="M43" s="7" t="s">
        <v>243</v>
      </c>
      <c r="N43" s="7" t="s">
        <v>209</v>
      </c>
      <c r="O43" s="7">
        <v>72000</v>
      </c>
      <c r="P43" s="29">
        <v>0.99</v>
      </c>
      <c r="Q43" s="7" t="s">
        <v>232</v>
      </c>
      <c r="R43" s="7" t="s">
        <v>233</v>
      </c>
      <c r="S43" s="7">
        <v>6</v>
      </c>
      <c r="T43" s="6"/>
    </row>
    <row r="44" spans="1:20" x14ac:dyDescent="0.25">
      <c r="B44" s="7" t="s">
        <v>244</v>
      </c>
      <c r="C44" s="7" t="s">
        <v>245</v>
      </c>
      <c r="D44" s="7" t="s">
        <v>238</v>
      </c>
      <c r="E44" s="7">
        <v>47000</v>
      </c>
      <c r="F44" s="29">
        <v>0.91</v>
      </c>
      <c r="G44" s="7" t="s">
        <v>233</v>
      </c>
      <c r="H44" s="7" t="s">
        <v>232</v>
      </c>
      <c r="I44" s="7">
        <v>2</v>
      </c>
      <c r="J44" s="6"/>
      <c r="L44" s="7" t="s">
        <v>244</v>
      </c>
      <c r="M44" s="7" t="s">
        <v>245</v>
      </c>
      <c r="N44" s="7" t="s">
        <v>238</v>
      </c>
      <c r="O44" s="7">
        <v>47000</v>
      </c>
      <c r="P44" s="29">
        <v>0.91</v>
      </c>
      <c r="Q44" s="7" t="s">
        <v>233</v>
      </c>
      <c r="R44" s="7" t="s">
        <v>232</v>
      </c>
      <c r="S44" s="7">
        <v>2</v>
      </c>
      <c r="T44" s="6"/>
    </row>
    <row r="45" spans="1:20" x14ac:dyDescent="0.25">
      <c r="B45" s="7" t="s">
        <v>246</v>
      </c>
      <c r="C45" s="7" t="s">
        <v>247</v>
      </c>
      <c r="D45" s="7" t="s">
        <v>248</v>
      </c>
      <c r="E45" s="7">
        <v>81000</v>
      </c>
      <c r="F45" s="29">
        <v>0.95</v>
      </c>
      <c r="G45" s="7" t="s">
        <v>232</v>
      </c>
      <c r="H45" s="7" t="s">
        <v>233</v>
      </c>
      <c r="I45" s="7">
        <v>7</v>
      </c>
      <c r="J45" s="6"/>
      <c r="L45" s="7" t="s">
        <v>246</v>
      </c>
      <c r="M45" s="7" t="s">
        <v>247</v>
      </c>
      <c r="N45" s="7" t="s">
        <v>248</v>
      </c>
      <c r="O45" s="7">
        <v>81000</v>
      </c>
      <c r="P45" s="29">
        <v>0.95</v>
      </c>
      <c r="Q45" s="7" t="s">
        <v>232</v>
      </c>
      <c r="R45" s="7" t="s">
        <v>233</v>
      </c>
      <c r="S45" s="7">
        <v>7</v>
      </c>
      <c r="T45" s="6"/>
    </row>
    <row r="46" spans="1:20" x14ac:dyDescent="0.25">
      <c r="B46" s="7" t="s">
        <v>249</v>
      </c>
      <c r="C46" s="7" t="s">
        <v>250</v>
      </c>
      <c r="D46" s="7" t="s">
        <v>241</v>
      </c>
      <c r="E46" s="7">
        <v>36000</v>
      </c>
      <c r="F46" s="29">
        <v>0.89</v>
      </c>
      <c r="G46" s="7" t="s">
        <v>233</v>
      </c>
      <c r="H46" s="7" t="s">
        <v>232</v>
      </c>
      <c r="I46" s="7">
        <v>1</v>
      </c>
      <c r="J46" s="6"/>
      <c r="L46" s="7" t="s">
        <v>249</v>
      </c>
      <c r="M46" s="7" t="s">
        <v>250</v>
      </c>
      <c r="N46" s="7" t="s">
        <v>241</v>
      </c>
      <c r="O46" s="7">
        <v>36000</v>
      </c>
      <c r="P46" s="29">
        <v>0.89</v>
      </c>
      <c r="Q46" s="7" t="s">
        <v>233</v>
      </c>
      <c r="R46" s="7" t="s">
        <v>232</v>
      </c>
      <c r="S46" s="7">
        <v>1</v>
      </c>
      <c r="T46" s="6"/>
    </row>
    <row r="47" spans="1:20" x14ac:dyDescent="0.25">
      <c r="B47" s="7" t="s">
        <v>251</v>
      </c>
      <c r="C47" s="7" t="s">
        <v>252</v>
      </c>
      <c r="D47" s="7" t="s">
        <v>209</v>
      </c>
      <c r="E47" s="7">
        <v>55000</v>
      </c>
      <c r="F47" s="29">
        <v>0.96</v>
      </c>
      <c r="G47" s="7" t="s">
        <v>232</v>
      </c>
      <c r="H47" s="7" t="s">
        <v>233</v>
      </c>
      <c r="I47" s="7">
        <v>4</v>
      </c>
      <c r="J47" s="6"/>
      <c r="L47" s="7" t="s">
        <v>251</v>
      </c>
      <c r="M47" s="7" t="s">
        <v>252</v>
      </c>
      <c r="N47" s="7" t="s">
        <v>209</v>
      </c>
      <c r="O47" s="7">
        <v>55000</v>
      </c>
      <c r="P47" s="29">
        <v>0.96</v>
      </c>
      <c r="Q47" s="7" t="s">
        <v>232</v>
      </c>
      <c r="R47" s="7" t="s">
        <v>233</v>
      </c>
      <c r="S47" s="7">
        <v>4</v>
      </c>
      <c r="T47" s="6"/>
    </row>
    <row r="48" spans="1:20" x14ac:dyDescent="0.25">
      <c r="B48" s="7" t="s">
        <v>253</v>
      </c>
      <c r="C48" s="7" t="s">
        <v>254</v>
      </c>
      <c r="D48" s="7" t="s">
        <v>238</v>
      </c>
      <c r="E48" s="7">
        <v>48000</v>
      </c>
      <c r="F48" s="29">
        <v>0.94</v>
      </c>
      <c r="G48" s="7" t="s">
        <v>233</v>
      </c>
      <c r="H48" s="7" t="s">
        <v>233</v>
      </c>
      <c r="I48" s="7">
        <v>3</v>
      </c>
      <c r="J48" s="6"/>
      <c r="L48" s="7" t="s">
        <v>253</v>
      </c>
      <c r="M48" s="7" t="s">
        <v>254</v>
      </c>
      <c r="N48" s="7" t="s">
        <v>238</v>
      </c>
      <c r="O48" s="7">
        <v>48000</v>
      </c>
      <c r="P48" s="29">
        <v>0.94</v>
      </c>
      <c r="Q48" s="7" t="s">
        <v>233</v>
      </c>
      <c r="R48" s="7" t="s">
        <v>233</v>
      </c>
      <c r="S48" s="7">
        <v>3</v>
      </c>
      <c r="T48" s="6"/>
    </row>
  </sheetData>
  <mergeCells count="1">
    <mergeCell ref="A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093C-C4B6-45FA-B543-9D68FA1C358F}">
  <dimension ref="A1:T53"/>
  <sheetViews>
    <sheetView topLeftCell="A34" workbookViewId="0">
      <selection activeCell="V51" sqref="V51"/>
    </sheetView>
  </sheetViews>
  <sheetFormatPr defaultColWidth="18.7109375" defaultRowHeight="15" x14ac:dyDescent="0.25"/>
  <cols>
    <col min="10" max="10" width="32.5703125" customWidth="1"/>
    <col min="20" max="20" width="22.140625" customWidth="1"/>
  </cols>
  <sheetData>
    <row r="1" spans="1:18" x14ac:dyDescent="0.25">
      <c r="A1" s="49" t="s">
        <v>202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18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4" spans="1:18" x14ac:dyDescent="0.25">
      <c r="A4" t="s">
        <v>203</v>
      </c>
    </row>
    <row r="6" spans="1:18" x14ac:dyDescent="0.25">
      <c r="B6" t="s">
        <v>204</v>
      </c>
    </row>
    <row r="8" spans="1:18" x14ac:dyDescent="0.25">
      <c r="B8" s="3" t="s">
        <v>68</v>
      </c>
      <c r="C8" s="3" t="s">
        <v>69</v>
      </c>
      <c r="D8" s="3" t="s">
        <v>225</v>
      </c>
      <c r="E8" s="3" t="s">
        <v>70</v>
      </c>
      <c r="F8" s="3" t="s">
        <v>226</v>
      </c>
      <c r="G8" s="3" t="s">
        <v>227</v>
      </c>
      <c r="H8" s="3" t="s">
        <v>228</v>
      </c>
      <c r="I8" s="3" t="s">
        <v>229</v>
      </c>
    </row>
    <row r="9" spans="1:18" x14ac:dyDescent="0.25">
      <c r="B9" s="7" t="s">
        <v>230</v>
      </c>
      <c r="C9" s="7" t="s">
        <v>231</v>
      </c>
      <c r="D9" s="7" t="s">
        <v>209</v>
      </c>
      <c r="E9" s="7">
        <v>65000</v>
      </c>
      <c r="F9" s="29">
        <v>0.98</v>
      </c>
      <c r="G9" s="7" t="s">
        <v>232</v>
      </c>
      <c r="H9" s="7" t="s">
        <v>233</v>
      </c>
      <c r="I9" s="7">
        <v>4</v>
      </c>
    </row>
    <row r="10" spans="1:18" x14ac:dyDescent="0.25">
      <c r="B10" s="7" t="s">
        <v>234</v>
      </c>
      <c r="C10" s="7" t="s">
        <v>235</v>
      </c>
      <c r="D10" s="7" t="s">
        <v>209</v>
      </c>
      <c r="E10" s="7">
        <v>42000</v>
      </c>
      <c r="F10" s="29">
        <v>0.96</v>
      </c>
      <c r="G10" s="7" t="s">
        <v>233</v>
      </c>
      <c r="H10" s="7" t="s">
        <v>232</v>
      </c>
      <c r="I10" s="7">
        <v>2</v>
      </c>
    </row>
    <row r="11" spans="1:18" x14ac:dyDescent="0.25">
      <c r="B11" s="7" t="s">
        <v>236</v>
      </c>
      <c r="C11" s="7" t="s">
        <v>237</v>
      </c>
      <c r="D11" s="7" t="s">
        <v>238</v>
      </c>
      <c r="E11" s="7">
        <v>58000</v>
      </c>
      <c r="F11" s="29">
        <v>0.93</v>
      </c>
      <c r="G11" s="7" t="s">
        <v>232</v>
      </c>
      <c r="H11" s="7" t="s">
        <v>233</v>
      </c>
      <c r="I11" s="7">
        <v>5</v>
      </c>
    </row>
    <row r="12" spans="1:18" x14ac:dyDescent="0.25">
      <c r="B12" s="7" t="s">
        <v>239</v>
      </c>
      <c r="C12" s="7" t="s">
        <v>240</v>
      </c>
      <c r="D12" s="7" t="s">
        <v>241</v>
      </c>
      <c r="E12" s="7">
        <v>39000</v>
      </c>
      <c r="F12" s="29">
        <v>0.97</v>
      </c>
      <c r="G12" s="7" t="s">
        <v>232</v>
      </c>
      <c r="H12" s="7" t="s">
        <v>232</v>
      </c>
      <c r="I12" s="7">
        <v>3</v>
      </c>
    </row>
    <row r="13" spans="1:18" x14ac:dyDescent="0.25">
      <c r="B13" s="7" t="s">
        <v>242</v>
      </c>
      <c r="C13" s="7" t="s">
        <v>243</v>
      </c>
      <c r="D13" s="7" t="s">
        <v>209</v>
      </c>
      <c r="E13" s="7">
        <v>72000</v>
      </c>
      <c r="F13" s="29">
        <v>0.99</v>
      </c>
      <c r="G13" s="7" t="s">
        <v>232</v>
      </c>
      <c r="H13" s="7" t="s">
        <v>233</v>
      </c>
      <c r="I13" s="7">
        <v>6</v>
      </c>
    </row>
    <row r="14" spans="1:18" x14ac:dyDescent="0.25">
      <c r="B14" s="7" t="s">
        <v>244</v>
      </c>
      <c r="C14" s="7" t="s">
        <v>245</v>
      </c>
      <c r="D14" s="7" t="s">
        <v>238</v>
      </c>
      <c r="E14" s="7">
        <v>47000</v>
      </c>
      <c r="F14" s="29">
        <v>0.91</v>
      </c>
      <c r="G14" s="7" t="s">
        <v>233</v>
      </c>
      <c r="H14" s="7" t="s">
        <v>232</v>
      </c>
      <c r="I14" s="7">
        <v>2</v>
      </c>
    </row>
    <row r="15" spans="1:18" x14ac:dyDescent="0.25">
      <c r="B15" s="7" t="s">
        <v>246</v>
      </c>
      <c r="C15" s="7" t="s">
        <v>247</v>
      </c>
      <c r="D15" s="7" t="s">
        <v>248</v>
      </c>
      <c r="E15" s="7">
        <v>81000</v>
      </c>
      <c r="F15" s="29">
        <v>0.95</v>
      </c>
      <c r="G15" s="7" t="s">
        <v>232</v>
      </c>
      <c r="H15" s="7" t="s">
        <v>233</v>
      </c>
      <c r="I15" s="7">
        <v>7</v>
      </c>
    </row>
    <row r="16" spans="1:18" x14ac:dyDescent="0.25">
      <c r="B16" s="7" t="s">
        <v>249</v>
      </c>
      <c r="C16" s="7" t="s">
        <v>250</v>
      </c>
      <c r="D16" s="7" t="s">
        <v>241</v>
      </c>
      <c r="E16" s="7">
        <v>36000</v>
      </c>
      <c r="F16" s="29">
        <v>0.89</v>
      </c>
      <c r="G16" s="7" t="s">
        <v>233</v>
      </c>
      <c r="H16" s="7" t="s">
        <v>232</v>
      </c>
      <c r="I16" s="7">
        <v>1</v>
      </c>
    </row>
    <row r="17" spans="1:20" x14ac:dyDescent="0.25">
      <c r="B17" s="7" t="s">
        <v>251</v>
      </c>
      <c r="C17" s="7" t="s">
        <v>252</v>
      </c>
      <c r="D17" s="7" t="s">
        <v>209</v>
      </c>
      <c r="E17" s="7">
        <v>55000</v>
      </c>
      <c r="F17" s="29">
        <v>0.96</v>
      </c>
      <c r="G17" s="7" t="s">
        <v>232</v>
      </c>
      <c r="H17" s="7" t="s">
        <v>233</v>
      </c>
      <c r="I17" s="7">
        <v>4</v>
      </c>
    </row>
    <row r="18" spans="1:20" x14ac:dyDescent="0.25">
      <c r="B18" s="7" t="s">
        <v>253</v>
      </c>
      <c r="C18" s="7" t="s">
        <v>254</v>
      </c>
      <c r="D18" s="7" t="s">
        <v>238</v>
      </c>
      <c r="E18" s="7">
        <v>48000</v>
      </c>
      <c r="F18" s="29">
        <v>0.94</v>
      </c>
      <c r="G18" s="7" t="s">
        <v>233</v>
      </c>
      <c r="H18" s="7" t="s">
        <v>233</v>
      </c>
      <c r="I18" s="7">
        <v>3</v>
      </c>
    </row>
    <row r="20" spans="1:20" x14ac:dyDescent="0.25">
      <c r="A20" s="5" t="s">
        <v>316</v>
      </c>
    </row>
    <row r="21" spans="1:20" x14ac:dyDescent="0.25">
      <c r="A21" t="s">
        <v>317</v>
      </c>
    </row>
    <row r="22" spans="1:20" x14ac:dyDescent="0.25">
      <c r="A22" t="s">
        <v>318</v>
      </c>
    </row>
    <row r="23" spans="1:20" x14ac:dyDescent="0.25">
      <c r="A23" s="35" t="s">
        <v>319</v>
      </c>
      <c r="C23" s="8"/>
      <c r="O23" s="5" t="s">
        <v>282</v>
      </c>
    </row>
    <row r="24" spans="1:20" x14ac:dyDescent="0.25">
      <c r="C24" s="8"/>
    </row>
    <row r="25" spans="1:20" x14ac:dyDescent="0.25">
      <c r="B25" s="3" t="s">
        <v>68</v>
      </c>
      <c r="C25" s="3" t="s">
        <v>69</v>
      </c>
      <c r="D25" s="3" t="s">
        <v>225</v>
      </c>
      <c r="E25" s="3" t="s">
        <v>70</v>
      </c>
      <c r="F25" s="3" t="s">
        <v>226</v>
      </c>
      <c r="G25" s="3" t="s">
        <v>227</v>
      </c>
      <c r="H25" s="3" t="s">
        <v>228</v>
      </c>
      <c r="I25" s="3" t="s">
        <v>229</v>
      </c>
      <c r="J25" s="32" t="s">
        <v>281</v>
      </c>
      <c r="L25" s="3" t="s">
        <v>68</v>
      </c>
      <c r="M25" s="3" t="s">
        <v>69</v>
      </c>
      <c r="N25" s="3" t="s">
        <v>225</v>
      </c>
      <c r="O25" s="3" t="s">
        <v>70</v>
      </c>
      <c r="P25" s="3" t="s">
        <v>226</v>
      </c>
      <c r="Q25" s="3" t="s">
        <v>227</v>
      </c>
      <c r="R25" s="3" t="s">
        <v>228</v>
      </c>
      <c r="S25" s="3" t="s">
        <v>229</v>
      </c>
      <c r="T25" s="32" t="s">
        <v>281</v>
      </c>
    </row>
    <row r="26" spans="1:20" x14ac:dyDescent="0.25">
      <c r="B26" s="7" t="s">
        <v>230</v>
      </c>
      <c r="C26" s="7" t="s">
        <v>231</v>
      </c>
      <c r="D26" s="7" t="s">
        <v>209</v>
      </c>
      <c r="E26" s="7">
        <v>65000</v>
      </c>
      <c r="F26" s="29">
        <v>0.98</v>
      </c>
      <c r="G26" s="7" t="s">
        <v>232</v>
      </c>
      <c r="H26" s="7" t="s">
        <v>233</v>
      </c>
      <c r="I26" s="7">
        <v>4</v>
      </c>
      <c r="J26" s="6" t="b">
        <f>NOT(H26="Yes")</f>
        <v>1</v>
      </c>
      <c r="L26" s="7" t="s">
        <v>230</v>
      </c>
      <c r="M26" s="7" t="s">
        <v>231</v>
      </c>
      <c r="N26" s="7" t="s">
        <v>209</v>
      </c>
      <c r="O26" s="7">
        <v>65000</v>
      </c>
      <c r="P26" s="29">
        <v>0.98</v>
      </c>
      <c r="Q26" s="7" t="s">
        <v>232</v>
      </c>
      <c r="R26" s="7" t="s">
        <v>233</v>
      </c>
      <c r="S26" s="7">
        <v>4</v>
      </c>
      <c r="T26" s="6" t="str">
        <f>IF(NOT(R26="Yes"),"Work From Office","Work for Home")</f>
        <v>Work From Office</v>
      </c>
    </row>
    <row r="27" spans="1:20" x14ac:dyDescent="0.25">
      <c r="B27" s="7" t="s">
        <v>234</v>
      </c>
      <c r="C27" s="7" t="s">
        <v>235</v>
      </c>
      <c r="D27" s="7" t="s">
        <v>209</v>
      </c>
      <c r="E27" s="7">
        <v>42000</v>
      </c>
      <c r="F27" s="29">
        <v>0.96</v>
      </c>
      <c r="G27" s="7" t="s">
        <v>233</v>
      </c>
      <c r="H27" s="7" t="s">
        <v>232</v>
      </c>
      <c r="I27" s="7">
        <v>2</v>
      </c>
      <c r="J27" s="6" t="b">
        <f t="shared" ref="J27:J35" si="0">NOT(H27="Yes")</f>
        <v>0</v>
      </c>
      <c r="L27" s="7" t="s">
        <v>234</v>
      </c>
      <c r="M27" s="7" t="s">
        <v>235</v>
      </c>
      <c r="N27" s="7" t="s">
        <v>209</v>
      </c>
      <c r="O27" s="7">
        <v>42000</v>
      </c>
      <c r="P27" s="29">
        <v>0.96</v>
      </c>
      <c r="Q27" s="7" t="s">
        <v>233</v>
      </c>
      <c r="R27" s="7" t="s">
        <v>232</v>
      </c>
      <c r="S27" s="7">
        <v>2</v>
      </c>
      <c r="T27" s="6" t="str">
        <f t="shared" ref="T27:T35" si="1">IF(NOT(R27="Yes"),"Work From Office","Work for Home")</f>
        <v>Work for Home</v>
      </c>
    </row>
    <row r="28" spans="1:20" x14ac:dyDescent="0.25">
      <c r="B28" s="7" t="s">
        <v>236</v>
      </c>
      <c r="C28" s="7" t="s">
        <v>237</v>
      </c>
      <c r="D28" s="7" t="s">
        <v>238</v>
      </c>
      <c r="E28" s="7">
        <v>58000</v>
      </c>
      <c r="F28" s="29">
        <v>0.93</v>
      </c>
      <c r="G28" s="7" t="s">
        <v>232</v>
      </c>
      <c r="H28" s="7" t="s">
        <v>233</v>
      </c>
      <c r="I28" s="7">
        <v>5</v>
      </c>
      <c r="J28" s="6" t="b">
        <f t="shared" si="0"/>
        <v>1</v>
      </c>
      <c r="L28" s="7" t="s">
        <v>236</v>
      </c>
      <c r="M28" s="7" t="s">
        <v>237</v>
      </c>
      <c r="N28" s="7" t="s">
        <v>238</v>
      </c>
      <c r="O28" s="7">
        <v>58000</v>
      </c>
      <c r="P28" s="29">
        <v>0.93</v>
      </c>
      <c r="Q28" s="7" t="s">
        <v>232</v>
      </c>
      <c r="R28" s="7" t="s">
        <v>233</v>
      </c>
      <c r="S28" s="7">
        <v>5</v>
      </c>
      <c r="T28" s="6" t="str">
        <f t="shared" si="1"/>
        <v>Work From Office</v>
      </c>
    </row>
    <row r="29" spans="1:20" x14ac:dyDescent="0.25">
      <c r="B29" s="7" t="s">
        <v>239</v>
      </c>
      <c r="C29" s="7" t="s">
        <v>240</v>
      </c>
      <c r="D29" s="7" t="s">
        <v>241</v>
      </c>
      <c r="E29" s="7">
        <v>39000</v>
      </c>
      <c r="F29" s="29">
        <v>0.97</v>
      </c>
      <c r="G29" s="7" t="s">
        <v>232</v>
      </c>
      <c r="H29" s="7" t="s">
        <v>232</v>
      </c>
      <c r="I29" s="7">
        <v>3</v>
      </c>
      <c r="J29" s="6" t="b">
        <f t="shared" si="0"/>
        <v>0</v>
      </c>
      <c r="L29" s="7" t="s">
        <v>239</v>
      </c>
      <c r="M29" s="7" t="s">
        <v>240</v>
      </c>
      <c r="N29" s="7" t="s">
        <v>241</v>
      </c>
      <c r="O29" s="7">
        <v>39000</v>
      </c>
      <c r="P29" s="29">
        <v>0.97</v>
      </c>
      <c r="Q29" s="7" t="s">
        <v>232</v>
      </c>
      <c r="R29" s="7" t="s">
        <v>232</v>
      </c>
      <c r="S29" s="7">
        <v>3</v>
      </c>
      <c r="T29" s="6" t="str">
        <f t="shared" si="1"/>
        <v>Work for Home</v>
      </c>
    </row>
    <row r="30" spans="1:20" x14ac:dyDescent="0.25">
      <c r="B30" s="7" t="s">
        <v>242</v>
      </c>
      <c r="C30" s="7" t="s">
        <v>243</v>
      </c>
      <c r="D30" s="7" t="s">
        <v>209</v>
      </c>
      <c r="E30" s="7">
        <v>72000</v>
      </c>
      <c r="F30" s="29">
        <v>0.99</v>
      </c>
      <c r="G30" s="7" t="s">
        <v>232</v>
      </c>
      <c r="H30" s="7" t="s">
        <v>233</v>
      </c>
      <c r="I30" s="7">
        <v>6</v>
      </c>
      <c r="J30" s="6" t="b">
        <f t="shared" si="0"/>
        <v>1</v>
      </c>
      <c r="L30" s="7" t="s">
        <v>242</v>
      </c>
      <c r="M30" s="7" t="s">
        <v>243</v>
      </c>
      <c r="N30" s="7" t="s">
        <v>209</v>
      </c>
      <c r="O30" s="7">
        <v>72000</v>
      </c>
      <c r="P30" s="29">
        <v>0.99</v>
      </c>
      <c r="Q30" s="7" t="s">
        <v>232</v>
      </c>
      <c r="R30" s="7" t="s">
        <v>233</v>
      </c>
      <c r="S30" s="7">
        <v>6</v>
      </c>
      <c r="T30" s="6" t="str">
        <f t="shared" si="1"/>
        <v>Work From Office</v>
      </c>
    </row>
    <row r="31" spans="1:20" x14ac:dyDescent="0.25">
      <c r="B31" s="7" t="s">
        <v>244</v>
      </c>
      <c r="C31" s="7" t="s">
        <v>245</v>
      </c>
      <c r="D31" s="7" t="s">
        <v>238</v>
      </c>
      <c r="E31" s="7">
        <v>47000</v>
      </c>
      <c r="F31" s="29">
        <v>0.91</v>
      </c>
      <c r="G31" s="7" t="s">
        <v>233</v>
      </c>
      <c r="H31" s="7" t="s">
        <v>232</v>
      </c>
      <c r="I31" s="7">
        <v>2</v>
      </c>
      <c r="J31" s="6" t="b">
        <f t="shared" si="0"/>
        <v>0</v>
      </c>
      <c r="L31" s="7" t="s">
        <v>244</v>
      </c>
      <c r="M31" s="7" t="s">
        <v>245</v>
      </c>
      <c r="N31" s="7" t="s">
        <v>238</v>
      </c>
      <c r="O31" s="7">
        <v>47000</v>
      </c>
      <c r="P31" s="29">
        <v>0.91</v>
      </c>
      <c r="Q31" s="7" t="s">
        <v>233</v>
      </c>
      <c r="R31" s="7" t="s">
        <v>232</v>
      </c>
      <c r="S31" s="7">
        <v>2</v>
      </c>
      <c r="T31" s="6" t="str">
        <f t="shared" si="1"/>
        <v>Work for Home</v>
      </c>
    </row>
    <row r="32" spans="1:20" x14ac:dyDescent="0.25">
      <c r="B32" s="7" t="s">
        <v>246</v>
      </c>
      <c r="C32" s="7" t="s">
        <v>247</v>
      </c>
      <c r="D32" s="7" t="s">
        <v>248</v>
      </c>
      <c r="E32" s="7">
        <v>81000</v>
      </c>
      <c r="F32" s="29">
        <v>0.95</v>
      </c>
      <c r="G32" s="7" t="s">
        <v>232</v>
      </c>
      <c r="H32" s="7" t="s">
        <v>233</v>
      </c>
      <c r="I32" s="7">
        <v>7</v>
      </c>
      <c r="J32" s="6" t="b">
        <f t="shared" si="0"/>
        <v>1</v>
      </c>
      <c r="L32" s="7" t="s">
        <v>246</v>
      </c>
      <c r="M32" s="7" t="s">
        <v>247</v>
      </c>
      <c r="N32" s="7" t="s">
        <v>248</v>
      </c>
      <c r="O32" s="7">
        <v>81000</v>
      </c>
      <c r="P32" s="29">
        <v>0.95</v>
      </c>
      <c r="Q32" s="7" t="s">
        <v>232</v>
      </c>
      <c r="R32" s="7" t="s">
        <v>233</v>
      </c>
      <c r="S32" s="7">
        <v>7</v>
      </c>
      <c r="T32" s="6" t="str">
        <f t="shared" si="1"/>
        <v>Work From Office</v>
      </c>
    </row>
    <row r="33" spans="1:20" x14ac:dyDescent="0.25">
      <c r="B33" s="7" t="s">
        <v>249</v>
      </c>
      <c r="C33" s="7" t="s">
        <v>250</v>
      </c>
      <c r="D33" s="7" t="s">
        <v>241</v>
      </c>
      <c r="E33" s="7">
        <v>36000</v>
      </c>
      <c r="F33" s="29">
        <v>0.89</v>
      </c>
      <c r="G33" s="7" t="s">
        <v>233</v>
      </c>
      <c r="H33" s="7" t="s">
        <v>232</v>
      </c>
      <c r="I33" s="7">
        <v>1</v>
      </c>
      <c r="J33" s="6" t="b">
        <f t="shared" si="0"/>
        <v>0</v>
      </c>
      <c r="L33" s="7" t="s">
        <v>249</v>
      </c>
      <c r="M33" s="7" t="s">
        <v>250</v>
      </c>
      <c r="N33" s="7" t="s">
        <v>241</v>
      </c>
      <c r="O33" s="7">
        <v>36000</v>
      </c>
      <c r="P33" s="29">
        <v>0.89</v>
      </c>
      <c r="Q33" s="7" t="s">
        <v>233</v>
      </c>
      <c r="R33" s="7" t="s">
        <v>232</v>
      </c>
      <c r="S33" s="7">
        <v>1</v>
      </c>
      <c r="T33" s="6" t="str">
        <f t="shared" si="1"/>
        <v>Work for Home</v>
      </c>
    </row>
    <row r="34" spans="1:20" x14ac:dyDescent="0.25">
      <c r="B34" s="7" t="s">
        <v>251</v>
      </c>
      <c r="C34" s="7" t="s">
        <v>252</v>
      </c>
      <c r="D34" s="7" t="s">
        <v>209</v>
      </c>
      <c r="E34" s="7">
        <v>55000</v>
      </c>
      <c r="F34" s="29">
        <v>0.96</v>
      </c>
      <c r="G34" s="7" t="s">
        <v>232</v>
      </c>
      <c r="H34" s="7" t="s">
        <v>233</v>
      </c>
      <c r="I34" s="7">
        <v>4</v>
      </c>
      <c r="J34" s="6" t="b">
        <f t="shared" si="0"/>
        <v>1</v>
      </c>
      <c r="L34" s="7" t="s">
        <v>251</v>
      </c>
      <c r="M34" s="7" t="s">
        <v>252</v>
      </c>
      <c r="N34" s="7" t="s">
        <v>209</v>
      </c>
      <c r="O34" s="7">
        <v>55000</v>
      </c>
      <c r="P34" s="29">
        <v>0.96</v>
      </c>
      <c r="Q34" s="7" t="s">
        <v>232</v>
      </c>
      <c r="R34" s="7" t="s">
        <v>233</v>
      </c>
      <c r="S34" s="7">
        <v>4</v>
      </c>
      <c r="T34" s="6" t="str">
        <f t="shared" si="1"/>
        <v>Work From Office</v>
      </c>
    </row>
    <row r="35" spans="1:20" x14ac:dyDescent="0.25">
      <c r="B35" s="7" t="s">
        <v>253</v>
      </c>
      <c r="C35" s="7" t="s">
        <v>254</v>
      </c>
      <c r="D35" s="7" t="s">
        <v>238</v>
      </c>
      <c r="E35" s="7">
        <v>48000</v>
      </c>
      <c r="F35" s="29">
        <v>0.94</v>
      </c>
      <c r="G35" s="7" t="s">
        <v>233</v>
      </c>
      <c r="H35" s="7" t="s">
        <v>233</v>
      </c>
      <c r="I35" s="7">
        <v>3</v>
      </c>
      <c r="J35" s="6" t="b">
        <f t="shared" si="0"/>
        <v>1</v>
      </c>
      <c r="L35" s="7" t="s">
        <v>253</v>
      </c>
      <c r="M35" s="7" t="s">
        <v>254</v>
      </c>
      <c r="N35" s="7" t="s">
        <v>238</v>
      </c>
      <c r="O35" s="7">
        <v>48000</v>
      </c>
      <c r="P35" s="29">
        <v>0.94</v>
      </c>
      <c r="Q35" s="7" t="s">
        <v>233</v>
      </c>
      <c r="R35" s="7" t="s">
        <v>233</v>
      </c>
      <c r="S35" s="7">
        <v>3</v>
      </c>
      <c r="T35" s="6" t="str">
        <f t="shared" si="1"/>
        <v>Work From Office</v>
      </c>
    </row>
    <row r="38" spans="1:20" ht="18" x14ac:dyDescent="0.25">
      <c r="A38" s="2" t="s">
        <v>320</v>
      </c>
    </row>
    <row r="39" spans="1:20" x14ac:dyDescent="0.25">
      <c r="A39" s="5" t="s">
        <v>317</v>
      </c>
      <c r="B39" s="36"/>
    </row>
    <row r="40" spans="1:20" x14ac:dyDescent="0.25">
      <c r="A40" t="s">
        <v>321</v>
      </c>
      <c r="B40" s="36"/>
    </row>
    <row r="41" spans="1:20" x14ac:dyDescent="0.25">
      <c r="A41" s="35" t="s">
        <v>322</v>
      </c>
      <c r="B41" s="36"/>
    </row>
    <row r="43" spans="1:20" x14ac:dyDescent="0.25">
      <c r="B43" s="3" t="s">
        <v>68</v>
      </c>
      <c r="C43" s="3" t="s">
        <v>69</v>
      </c>
      <c r="D43" s="3" t="s">
        <v>225</v>
      </c>
      <c r="E43" s="3" t="s">
        <v>70</v>
      </c>
      <c r="F43" s="3" t="s">
        <v>226</v>
      </c>
      <c r="G43" s="3" t="s">
        <v>227</v>
      </c>
      <c r="H43" s="3" t="s">
        <v>228</v>
      </c>
      <c r="I43" s="3" t="s">
        <v>229</v>
      </c>
      <c r="J43" s="32" t="s">
        <v>283</v>
      </c>
      <c r="L43" s="3" t="s">
        <v>68</v>
      </c>
      <c r="M43" s="3" t="s">
        <v>69</v>
      </c>
      <c r="N43" s="3" t="s">
        <v>225</v>
      </c>
      <c r="O43" s="3" t="s">
        <v>70</v>
      </c>
      <c r="P43" s="3" t="s">
        <v>226</v>
      </c>
      <c r="Q43" s="3" t="s">
        <v>227</v>
      </c>
      <c r="R43" s="3" t="s">
        <v>228</v>
      </c>
      <c r="S43" s="3" t="s">
        <v>229</v>
      </c>
      <c r="T43" s="32" t="s">
        <v>283</v>
      </c>
    </row>
    <row r="44" spans="1:20" x14ac:dyDescent="0.25">
      <c r="B44" s="7" t="s">
        <v>230</v>
      </c>
      <c r="C44" s="7" t="s">
        <v>231</v>
      </c>
      <c r="D44" s="7" t="s">
        <v>209</v>
      </c>
      <c r="E44" s="7">
        <v>65000</v>
      </c>
      <c r="F44" s="29">
        <v>0.98</v>
      </c>
      <c r="G44" s="7" t="s">
        <v>232</v>
      </c>
      <c r="H44" s="7" t="s">
        <v>233</v>
      </c>
      <c r="I44" s="7">
        <v>4</v>
      </c>
      <c r="J44" s="6" t="b">
        <f>NOT(G44="No")</f>
        <v>1</v>
      </c>
      <c r="L44" s="7" t="s">
        <v>230</v>
      </c>
      <c r="M44" s="7" t="s">
        <v>231</v>
      </c>
      <c r="N44" s="7" t="s">
        <v>209</v>
      </c>
      <c r="O44" s="7">
        <v>65000</v>
      </c>
      <c r="P44" s="29">
        <v>0.98</v>
      </c>
      <c r="Q44" s="7" t="s">
        <v>232</v>
      </c>
      <c r="R44" s="7" t="s">
        <v>233</v>
      </c>
      <c r="S44" s="7">
        <v>4</v>
      </c>
      <c r="T44" s="6" t="str">
        <f>IF(NOT(Q44="No")," Achieved", "Not achieved")</f>
        <v xml:space="preserve"> Achieved</v>
      </c>
    </row>
    <row r="45" spans="1:20" x14ac:dyDescent="0.25">
      <c r="B45" s="7" t="s">
        <v>234</v>
      </c>
      <c r="C45" s="7" t="s">
        <v>235</v>
      </c>
      <c r="D45" s="7" t="s">
        <v>209</v>
      </c>
      <c r="E45" s="7">
        <v>42000</v>
      </c>
      <c r="F45" s="29">
        <v>0.96</v>
      </c>
      <c r="G45" s="7" t="s">
        <v>233</v>
      </c>
      <c r="H45" s="7" t="s">
        <v>232</v>
      </c>
      <c r="I45" s="7">
        <v>2</v>
      </c>
      <c r="J45" s="6" t="b">
        <f t="shared" ref="J45:J53" si="2">NOT(G45="No")</f>
        <v>0</v>
      </c>
      <c r="L45" s="7" t="s">
        <v>234</v>
      </c>
      <c r="M45" s="7" t="s">
        <v>235</v>
      </c>
      <c r="N45" s="7" t="s">
        <v>209</v>
      </c>
      <c r="O45" s="7">
        <v>42000</v>
      </c>
      <c r="P45" s="29">
        <v>0.96</v>
      </c>
      <c r="Q45" s="7" t="s">
        <v>233</v>
      </c>
      <c r="R45" s="7" t="s">
        <v>232</v>
      </c>
      <c r="S45" s="7">
        <v>2</v>
      </c>
      <c r="T45" s="6" t="str">
        <f t="shared" ref="T45:T53" si="3">IF(NOT(Q45="No")," Achieved", "Not achieved")</f>
        <v>Not achieved</v>
      </c>
    </row>
    <row r="46" spans="1:20" x14ac:dyDescent="0.25">
      <c r="B46" s="7" t="s">
        <v>236</v>
      </c>
      <c r="C46" s="7" t="s">
        <v>237</v>
      </c>
      <c r="D46" s="7" t="s">
        <v>238</v>
      </c>
      <c r="E46" s="7">
        <v>58000</v>
      </c>
      <c r="F46" s="29">
        <v>0.93</v>
      </c>
      <c r="G46" s="7" t="s">
        <v>232</v>
      </c>
      <c r="H46" s="7" t="s">
        <v>233</v>
      </c>
      <c r="I46" s="7">
        <v>5</v>
      </c>
      <c r="J46" s="6" t="b">
        <f t="shared" si="2"/>
        <v>1</v>
      </c>
      <c r="L46" s="7" t="s">
        <v>236</v>
      </c>
      <c r="M46" s="7" t="s">
        <v>237</v>
      </c>
      <c r="N46" s="7" t="s">
        <v>238</v>
      </c>
      <c r="O46" s="7">
        <v>58000</v>
      </c>
      <c r="P46" s="29">
        <v>0.93</v>
      </c>
      <c r="Q46" s="7" t="s">
        <v>232</v>
      </c>
      <c r="R46" s="7" t="s">
        <v>233</v>
      </c>
      <c r="S46" s="7">
        <v>5</v>
      </c>
      <c r="T46" s="6" t="str">
        <f t="shared" si="3"/>
        <v xml:space="preserve"> Achieved</v>
      </c>
    </row>
    <row r="47" spans="1:20" x14ac:dyDescent="0.25">
      <c r="B47" s="7" t="s">
        <v>239</v>
      </c>
      <c r="C47" s="7" t="s">
        <v>240</v>
      </c>
      <c r="D47" s="7" t="s">
        <v>241</v>
      </c>
      <c r="E47" s="7">
        <v>39000</v>
      </c>
      <c r="F47" s="29">
        <v>0.97</v>
      </c>
      <c r="G47" s="7" t="s">
        <v>232</v>
      </c>
      <c r="H47" s="7" t="s">
        <v>232</v>
      </c>
      <c r="I47" s="7">
        <v>3</v>
      </c>
      <c r="J47" s="6" t="b">
        <f t="shared" si="2"/>
        <v>1</v>
      </c>
      <c r="L47" s="7" t="s">
        <v>239</v>
      </c>
      <c r="M47" s="7" t="s">
        <v>240</v>
      </c>
      <c r="N47" s="7" t="s">
        <v>241</v>
      </c>
      <c r="O47" s="7">
        <v>39000</v>
      </c>
      <c r="P47" s="29">
        <v>0.97</v>
      </c>
      <c r="Q47" s="7" t="s">
        <v>232</v>
      </c>
      <c r="R47" s="7" t="s">
        <v>232</v>
      </c>
      <c r="S47" s="7">
        <v>3</v>
      </c>
      <c r="T47" s="6" t="str">
        <f t="shared" si="3"/>
        <v xml:space="preserve"> Achieved</v>
      </c>
    </row>
    <row r="48" spans="1:20" x14ac:dyDescent="0.25">
      <c r="B48" s="7" t="s">
        <v>242</v>
      </c>
      <c r="C48" s="7" t="s">
        <v>243</v>
      </c>
      <c r="D48" s="7" t="s">
        <v>209</v>
      </c>
      <c r="E48" s="7">
        <v>72000</v>
      </c>
      <c r="F48" s="29">
        <v>0.99</v>
      </c>
      <c r="G48" s="7" t="s">
        <v>232</v>
      </c>
      <c r="H48" s="7" t="s">
        <v>233</v>
      </c>
      <c r="I48" s="7">
        <v>6</v>
      </c>
      <c r="J48" s="6" t="b">
        <f t="shared" si="2"/>
        <v>1</v>
      </c>
      <c r="L48" s="7" t="s">
        <v>242</v>
      </c>
      <c r="M48" s="7" t="s">
        <v>243</v>
      </c>
      <c r="N48" s="7" t="s">
        <v>209</v>
      </c>
      <c r="O48" s="7">
        <v>72000</v>
      </c>
      <c r="P48" s="29">
        <v>0.99</v>
      </c>
      <c r="Q48" s="7" t="s">
        <v>232</v>
      </c>
      <c r="R48" s="7" t="s">
        <v>233</v>
      </c>
      <c r="S48" s="7">
        <v>6</v>
      </c>
      <c r="T48" s="6" t="str">
        <f t="shared" si="3"/>
        <v xml:space="preserve"> Achieved</v>
      </c>
    </row>
    <row r="49" spans="2:20" x14ac:dyDescent="0.25">
      <c r="B49" s="7" t="s">
        <v>244</v>
      </c>
      <c r="C49" s="7" t="s">
        <v>245</v>
      </c>
      <c r="D49" s="7" t="s">
        <v>238</v>
      </c>
      <c r="E49" s="7">
        <v>47000</v>
      </c>
      <c r="F49" s="29">
        <v>0.91</v>
      </c>
      <c r="G49" s="7" t="s">
        <v>233</v>
      </c>
      <c r="H49" s="7" t="s">
        <v>232</v>
      </c>
      <c r="I49" s="7">
        <v>2</v>
      </c>
      <c r="J49" s="6" t="b">
        <f t="shared" si="2"/>
        <v>0</v>
      </c>
      <c r="L49" s="7" t="s">
        <v>244</v>
      </c>
      <c r="M49" s="7" t="s">
        <v>245</v>
      </c>
      <c r="N49" s="7" t="s">
        <v>238</v>
      </c>
      <c r="O49" s="7">
        <v>47000</v>
      </c>
      <c r="P49" s="29">
        <v>0.91</v>
      </c>
      <c r="Q49" s="7" t="s">
        <v>233</v>
      </c>
      <c r="R49" s="7" t="s">
        <v>232</v>
      </c>
      <c r="S49" s="7">
        <v>2</v>
      </c>
      <c r="T49" s="6" t="str">
        <f t="shared" si="3"/>
        <v>Not achieved</v>
      </c>
    </row>
    <row r="50" spans="2:20" x14ac:dyDescent="0.25">
      <c r="B50" s="7" t="s">
        <v>246</v>
      </c>
      <c r="C50" s="7" t="s">
        <v>247</v>
      </c>
      <c r="D50" s="7" t="s">
        <v>248</v>
      </c>
      <c r="E50" s="7">
        <v>81000</v>
      </c>
      <c r="F50" s="29">
        <v>0.95</v>
      </c>
      <c r="G50" s="7" t="s">
        <v>232</v>
      </c>
      <c r="H50" s="7" t="s">
        <v>233</v>
      </c>
      <c r="I50" s="7">
        <v>7</v>
      </c>
      <c r="J50" s="6" t="b">
        <f t="shared" si="2"/>
        <v>1</v>
      </c>
      <c r="L50" s="7" t="s">
        <v>246</v>
      </c>
      <c r="M50" s="7" t="s">
        <v>247</v>
      </c>
      <c r="N50" s="7" t="s">
        <v>248</v>
      </c>
      <c r="O50" s="7">
        <v>81000</v>
      </c>
      <c r="P50" s="29">
        <v>0.95</v>
      </c>
      <c r="Q50" s="7" t="s">
        <v>232</v>
      </c>
      <c r="R50" s="7" t="s">
        <v>233</v>
      </c>
      <c r="S50" s="7">
        <v>7</v>
      </c>
      <c r="T50" s="6" t="str">
        <f t="shared" si="3"/>
        <v xml:space="preserve"> Achieved</v>
      </c>
    </row>
    <row r="51" spans="2:20" x14ac:dyDescent="0.25">
      <c r="B51" s="7" t="s">
        <v>249</v>
      </c>
      <c r="C51" s="7" t="s">
        <v>250</v>
      </c>
      <c r="D51" s="7" t="s">
        <v>241</v>
      </c>
      <c r="E51" s="7">
        <v>36000</v>
      </c>
      <c r="F51" s="29">
        <v>0.89</v>
      </c>
      <c r="G51" s="7" t="s">
        <v>233</v>
      </c>
      <c r="H51" s="7" t="s">
        <v>232</v>
      </c>
      <c r="I51" s="7">
        <v>1</v>
      </c>
      <c r="J51" s="6" t="b">
        <f t="shared" si="2"/>
        <v>0</v>
      </c>
      <c r="L51" s="7" t="s">
        <v>249</v>
      </c>
      <c r="M51" s="7" t="s">
        <v>250</v>
      </c>
      <c r="N51" s="7" t="s">
        <v>241</v>
      </c>
      <c r="O51" s="7">
        <v>36000</v>
      </c>
      <c r="P51" s="29">
        <v>0.89</v>
      </c>
      <c r="Q51" s="7" t="s">
        <v>233</v>
      </c>
      <c r="R51" s="7" t="s">
        <v>232</v>
      </c>
      <c r="S51" s="7">
        <v>1</v>
      </c>
      <c r="T51" s="6" t="str">
        <f t="shared" si="3"/>
        <v>Not achieved</v>
      </c>
    </row>
    <row r="52" spans="2:20" x14ac:dyDescent="0.25">
      <c r="B52" s="7" t="s">
        <v>251</v>
      </c>
      <c r="C52" s="7" t="s">
        <v>252</v>
      </c>
      <c r="D52" s="7" t="s">
        <v>209</v>
      </c>
      <c r="E52" s="7">
        <v>55000</v>
      </c>
      <c r="F52" s="29">
        <v>0.96</v>
      </c>
      <c r="G52" s="7" t="s">
        <v>232</v>
      </c>
      <c r="H52" s="7" t="s">
        <v>233</v>
      </c>
      <c r="I52" s="7">
        <v>4</v>
      </c>
      <c r="J52" s="6" t="b">
        <f t="shared" si="2"/>
        <v>1</v>
      </c>
      <c r="L52" s="7" t="s">
        <v>251</v>
      </c>
      <c r="M52" s="7" t="s">
        <v>252</v>
      </c>
      <c r="N52" s="7" t="s">
        <v>209</v>
      </c>
      <c r="O52" s="7">
        <v>55000</v>
      </c>
      <c r="P52" s="29">
        <v>0.96</v>
      </c>
      <c r="Q52" s="7" t="s">
        <v>232</v>
      </c>
      <c r="R52" s="7" t="s">
        <v>233</v>
      </c>
      <c r="S52" s="7">
        <v>4</v>
      </c>
      <c r="T52" s="6" t="str">
        <f t="shared" si="3"/>
        <v xml:space="preserve"> Achieved</v>
      </c>
    </row>
    <row r="53" spans="2:20" x14ac:dyDescent="0.25">
      <c r="B53" s="7" t="s">
        <v>253</v>
      </c>
      <c r="C53" s="7" t="s">
        <v>254</v>
      </c>
      <c r="D53" s="7" t="s">
        <v>238</v>
      </c>
      <c r="E53" s="7">
        <v>48000</v>
      </c>
      <c r="F53" s="29">
        <v>0.94</v>
      </c>
      <c r="G53" s="7" t="s">
        <v>233</v>
      </c>
      <c r="H53" s="7" t="s">
        <v>233</v>
      </c>
      <c r="I53" s="7">
        <v>3</v>
      </c>
      <c r="J53" s="6" t="b">
        <f t="shared" si="2"/>
        <v>0</v>
      </c>
      <c r="L53" s="7" t="s">
        <v>253</v>
      </c>
      <c r="M53" s="7" t="s">
        <v>254</v>
      </c>
      <c r="N53" s="7" t="s">
        <v>238</v>
      </c>
      <c r="O53" s="7">
        <v>48000</v>
      </c>
      <c r="P53" s="29">
        <v>0.94</v>
      </c>
      <c r="Q53" s="7" t="s">
        <v>233</v>
      </c>
      <c r="R53" s="7" t="s">
        <v>233</v>
      </c>
      <c r="S53" s="7">
        <v>3</v>
      </c>
      <c r="T53" s="6" t="str">
        <f t="shared" si="3"/>
        <v>Not achieved</v>
      </c>
    </row>
  </sheetData>
  <mergeCells count="1">
    <mergeCell ref="A1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IF Funtion</vt:lpstr>
      <vt:lpstr>Nested IF</vt:lpstr>
      <vt:lpstr>IF Error</vt:lpstr>
      <vt:lpstr>Logical Operators(AND, OR, NOT)</vt:lpstr>
      <vt:lpstr>OR</vt:lpstr>
      <vt:lpstr>NOT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2026-07-20T10:11:48Z</dcterms:created>
  <dcterms:modified xsi:type="dcterms:W3CDTF">2026-07-21T13:47:08Z</dcterms:modified>
</cp:coreProperties>
</file>