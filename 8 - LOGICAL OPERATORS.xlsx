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13_ncr:1_{609F0937-C14B-47FD-86B3-269E412FB32E}" xr6:coauthVersionLast="47" xr6:coauthVersionMax="47" xr10:uidLastSave="{00000000-0000-0000-0000-000000000000}"/>
  <bookViews>
    <workbookView xWindow="-120" yWindow="-120" windowWidth="20730" windowHeight="11160" activeTab="2" xr2:uid="{96865E95-EE4D-4660-AAEC-871FA2A43C20}"/>
  </bookViews>
  <sheets>
    <sheet name="AND" sheetId="1" r:id="rId1"/>
    <sheet name="OR" sheetId="2" r:id="rId2"/>
    <sheet name="NO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3" l="1"/>
  <c r="J53" i="3"/>
  <c r="T52" i="3"/>
  <c r="J52" i="3"/>
  <c r="T51" i="3"/>
  <c r="J51" i="3"/>
  <c r="T50" i="3"/>
  <c r="J50" i="3"/>
  <c r="T49" i="3"/>
  <c r="J49" i="3"/>
  <c r="T48" i="3"/>
  <c r="J48" i="3"/>
  <c r="T47" i="3"/>
  <c r="J47" i="3"/>
  <c r="T46" i="3"/>
  <c r="J46" i="3"/>
  <c r="T45" i="3"/>
  <c r="J45" i="3"/>
  <c r="T44" i="3"/>
  <c r="J44" i="3"/>
  <c r="T35" i="3"/>
  <c r="J35" i="3"/>
  <c r="T34" i="3"/>
  <c r="J34" i="3"/>
  <c r="T33" i="3"/>
  <c r="J33" i="3"/>
  <c r="T32" i="3"/>
  <c r="J32" i="3"/>
  <c r="T31" i="3"/>
  <c r="J31" i="3"/>
  <c r="T30" i="3"/>
  <c r="J30" i="3"/>
  <c r="T29" i="3"/>
  <c r="J29" i="3"/>
  <c r="T28" i="3"/>
  <c r="J28" i="3"/>
  <c r="T27" i="3"/>
  <c r="J27" i="3"/>
  <c r="T26" i="3"/>
  <c r="J26" i="3"/>
  <c r="U47" i="1"/>
  <c r="J47" i="1"/>
  <c r="U46" i="1"/>
  <c r="J46" i="1"/>
  <c r="U45" i="1"/>
  <c r="J45" i="1"/>
  <c r="U44" i="1"/>
  <c r="J44" i="1"/>
  <c r="U43" i="1"/>
  <c r="J43" i="1"/>
  <c r="U42" i="1"/>
  <c r="J42" i="1"/>
  <c r="U41" i="1"/>
  <c r="J41" i="1"/>
  <c r="U40" i="1"/>
  <c r="J40" i="1"/>
  <c r="U39" i="1"/>
  <c r="J39" i="1"/>
  <c r="U38" i="1"/>
  <c r="J38" i="1"/>
</calcChain>
</file>

<file path=xl/sharedStrings.xml><?xml version="1.0" encoding="utf-8"?>
<sst xmlns="http://schemas.openxmlformats.org/spreadsheetml/2006/main" count="945" uniqueCount="100">
  <si>
    <t>Logical Operators (AND, OR, NOT)</t>
  </si>
  <si>
    <t>Definition : Logical Functions are used to check one or more conditions in Excel. They return either TRUE or FALSE based on the result of the condition</t>
  </si>
  <si>
    <r>
      <t xml:space="preserve">These functions can also be combined with the </t>
    </r>
    <r>
      <rPr>
        <b/>
        <sz val="11"/>
        <color theme="1"/>
        <rFont val="Aptos Narrow"/>
        <family val="2"/>
        <scheme val="minor"/>
      </rPr>
      <t>IF</t>
    </r>
    <r>
      <rPr>
        <sz val="11"/>
        <color theme="1"/>
        <rFont val="Aptos Narrow"/>
        <family val="2"/>
        <scheme val="minor"/>
      </rPr>
      <t xml:space="preserve"> function to return different results based on the condition.</t>
    </r>
  </si>
  <si>
    <t>Advantages of Logical Functions</t>
  </si>
  <si>
    <t>Check one or more conditions easily.</t>
  </si>
  <si>
    <r>
      <t xml:space="preserve">Return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 xml:space="preserve"> based on the condition.</t>
    </r>
  </si>
  <si>
    <t>Help in making decisions in Excel formulas.</t>
  </si>
  <si>
    <r>
      <t xml:space="preserve">Can be combined with the </t>
    </r>
    <r>
      <rPr>
        <b/>
        <sz val="11"/>
        <color theme="1"/>
        <rFont val="Aptos Narrow"/>
        <family val="2"/>
        <scheme val="minor"/>
      </rPr>
      <t>IF</t>
    </r>
    <r>
      <rPr>
        <sz val="11"/>
        <color theme="1"/>
        <rFont val="Aptos Narrow"/>
        <family val="2"/>
        <scheme val="minor"/>
      </rPr>
      <t xml:space="preserve"> function to return different results.</t>
    </r>
  </si>
  <si>
    <t>Reduce manual checking and save time.</t>
  </si>
  <si>
    <t>Improve the accuracy of calculations by automating logical decisions</t>
  </si>
  <si>
    <t>1. AND Function</t>
  </si>
  <si>
    <t>Definition : The AND function returns TRUE only if all the specified conditions are TRUE. If any one condition is FALSE, the result is FALSE.</t>
  </si>
  <si>
    <t>Syntax : =AND(logical1, logical2, ...)</t>
  </si>
  <si>
    <t>Employee ID</t>
  </si>
  <si>
    <t>Employee Name</t>
  </si>
  <si>
    <t>Department</t>
  </si>
  <si>
    <t>Sales (₹)</t>
  </si>
  <si>
    <t>Attendance %</t>
  </si>
  <si>
    <t>Target Achieved</t>
  </si>
  <si>
    <t>Work From Home</t>
  </si>
  <si>
    <t>Experience (Years)</t>
  </si>
  <si>
    <t>EMP001</t>
  </si>
  <si>
    <t>Aakash Sharma</t>
  </si>
  <si>
    <t>Sales</t>
  </si>
  <si>
    <t>Yes</t>
  </si>
  <si>
    <t>No</t>
  </si>
  <si>
    <t>EMP002</t>
  </si>
  <si>
    <t>Priya Verma</t>
  </si>
  <si>
    <t>EMP003</t>
  </si>
  <si>
    <t>Amit Kumar</t>
  </si>
  <si>
    <t>Marketing</t>
  </si>
  <si>
    <t>EMP004</t>
  </si>
  <si>
    <t>Neha Singh</t>
  </si>
  <si>
    <t>HR</t>
  </si>
  <si>
    <t>EMP005</t>
  </si>
  <si>
    <t>Rahul Gupta</t>
  </si>
  <si>
    <t>EMP006</t>
  </si>
  <si>
    <t>Sneha Patel</t>
  </si>
  <si>
    <t>EMP007</t>
  </si>
  <si>
    <t>Arjun Mehta</t>
  </si>
  <si>
    <t>Finance</t>
  </si>
  <si>
    <t>EMP008</t>
  </si>
  <si>
    <t>Kavita Roy</t>
  </si>
  <si>
    <t>EMP009</t>
  </si>
  <si>
    <t>Mohit Jain</t>
  </si>
  <si>
    <t>EMP010</t>
  </si>
  <si>
    <t>Riya Khan</t>
  </si>
  <si>
    <r>
      <t>Q1.</t>
    </r>
    <r>
      <rPr>
        <sz val="11"/>
        <color theme="1"/>
        <rFont val="Aptos Narrow"/>
        <family val="2"/>
        <scheme val="minor"/>
      </rPr>
      <t xml:space="preserve"> Check whether an employee is eligible for a </t>
    </r>
    <r>
      <rPr>
        <b/>
        <sz val="11"/>
        <color theme="1"/>
        <rFont val="Aptos Narrow"/>
        <family val="2"/>
        <scheme val="minor"/>
      </rPr>
      <t>Performance Bonus</t>
    </r>
    <r>
      <rPr>
        <sz val="11"/>
        <color theme="1"/>
        <rFont val="Aptos Narrow"/>
        <family val="2"/>
        <scheme val="minor"/>
      </rPr>
      <t xml:space="preserve"> if:</t>
    </r>
  </si>
  <si>
    <t xml:space="preserve">Conditions: </t>
  </si>
  <si>
    <t>Sales ≥ ₹50,000 Attendance ≥ 95%</t>
  </si>
  <si>
    <t>Using IF + AND</t>
  </si>
  <si>
    <t>Performance Bonus</t>
  </si>
  <si>
    <r>
      <t>Q2.</t>
    </r>
    <r>
      <rPr>
        <sz val="11"/>
        <color theme="1"/>
        <rFont val="Aptos Narrow"/>
        <family val="2"/>
        <scheme val="minor"/>
      </rPr>
      <t xml:space="preserve"> Check whether an employee satisfies both of the following conditions:</t>
    </r>
  </si>
  <si>
    <t>Target Achieved = "Yes"</t>
  </si>
  <si>
    <t>Experience ≥ 3 years</t>
  </si>
  <si>
    <t>Status</t>
  </si>
  <si>
    <t>Difference Between AND, OR, and NOT</t>
  </si>
  <si>
    <t>Function</t>
  </si>
  <si>
    <t>Returns TRUE When</t>
  </si>
  <si>
    <t>Example</t>
  </si>
  <si>
    <t>AND</t>
  </si>
  <si>
    <r>
      <t>All conditions</t>
    </r>
    <r>
      <rPr>
        <sz val="11"/>
        <color theme="1"/>
        <rFont val="Aptos Narrow"/>
        <family val="2"/>
        <scheme val="minor"/>
      </rPr>
      <t xml:space="preserve"> are TRUE</t>
    </r>
  </si>
  <si>
    <r>
      <t xml:space="preserve">Sales ≥ 50,000 </t>
    </r>
    <r>
      <rPr>
        <b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Attendance ≥ 95%</t>
    </r>
  </si>
  <si>
    <t>OR</t>
  </si>
  <si>
    <r>
      <t>At least one condition</t>
    </r>
    <r>
      <rPr>
        <sz val="11"/>
        <color theme="1"/>
        <rFont val="Aptos Narrow"/>
        <family val="2"/>
        <scheme val="minor"/>
      </rPr>
      <t xml:space="preserve"> is TRUE</t>
    </r>
  </si>
  <si>
    <r>
      <t xml:space="preserve">Sports = Yes </t>
    </r>
    <r>
      <rPr>
        <b/>
        <sz val="11"/>
        <color theme="1"/>
        <rFont val="Aptos Narrow"/>
        <family val="2"/>
        <scheme val="minor"/>
      </rPr>
      <t>or</t>
    </r>
    <r>
      <rPr>
        <sz val="11"/>
        <color theme="1"/>
        <rFont val="Aptos Narrow"/>
        <family val="2"/>
        <scheme val="minor"/>
      </rPr>
      <t xml:space="preserve"> Cultural = Yes</t>
    </r>
  </si>
  <si>
    <t>NOT</t>
  </si>
  <si>
    <t>Reverses the logical result</t>
  </si>
  <si>
    <t>NOT(TRUE) = FALSE</t>
  </si>
  <si>
    <r>
      <t>AND</t>
    </r>
    <r>
      <rPr>
        <sz val="11"/>
        <color theme="1"/>
        <rFont val="Aptos Narrow"/>
        <family val="2"/>
        <scheme val="minor"/>
      </rPr>
      <t xml:space="preserve"> → Both conditions must be TRUE.</t>
    </r>
  </si>
  <si>
    <r>
      <t>OR</t>
    </r>
    <r>
      <rPr>
        <sz val="11"/>
        <color theme="1"/>
        <rFont val="Aptos Narrow"/>
        <family val="2"/>
        <scheme val="minor"/>
      </rPr>
      <t xml:space="preserve"> → At least one condition must be TRUE.</t>
    </r>
  </si>
  <si>
    <r>
      <t>NOT</t>
    </r>
    <r>
      <rPr>
        <sz val="11"/>
        <color theme="1"/>
        <rFont val="Aptos Narrow"/>
        <family val="2"/>
        <scheme val="minor"/>
      </rPr>
      <t xml:space="preserve"> → Reverses a single condition.</t>
    </r>
  </si>
  <si>
    <t>2. OR Function</t>
  </si>
  <si>
    <t>Definition :  The OR function returns TRUE if at least one condition is TRUE. It returns FALSE only when all conditions are FALSE.</t>
  </si>
  <si>
    <t>Syntax : =OR(logical1, logical2, ...)</t>
  </si>
  <si>
    <r>
      <t>Q1.</t>
    </r>
    <r>
      <rPr>
        <sz val="11"/>
        <color theme="1"/>
        <rFont val="Aptos Narrow"/>
        <family val="2"/>
        <scheme val="minor"/>
      </rPr>
      <t xml:space="preserve"> Check if an employee is eligible for </t>
    </r>
    <r>
      <rPr>
        <b/>
        <sz val="11"/>
        <color theme="1"/>
        <rFont val="Aptos Narrow"/>
        <family val="2"/>
        <scheme val="minor"/>
      </rPr>
      <t>Recognition</t>
    </r>
    <r>
      <rPr>
        <sz val="11"/>
        <color theme="1"/>
        <rFont val="Aptos Narrow"/>
        <family val="2"/>
        <scheme val="minor"/>
      </rPr>
      <t xml:space="preserve"> if:</t>
    </r>
  </si>
  <si>
    <t>Sales ≥ ₹70,000</t>
  </si>
  <si>
    <t>OR Attendance ≥ 98%</t>
  </si>
  <si>
    <t>Using IF + OR</t>
  </si>
  <si>
    <r>
      <t>Q2.</t>
    </r>
    <r>
      <rPr>
        <sz val="11"/>
        <color theme="1"/>
        <rFont val="Aptos Narrow"/>
        <family val="2"/>
        <scheme val="minor"/>
      </rPr>
      <t xml:space="preserve"> Check if an employee is working in:</t>
    </r>
  </si>
  <si>
    <t>Sales Department</t>
  </si>
  <si>
    <t>OR Marketing Department</t>
  </si>
  <si>
    <t>Department Check</t>
  </si>
  <si>
    <t>3. NOT Function</t>
  </si>
  <si>
    <r>
      <t xml:space="preserve">Definition : The </t>
    </r>
    <r>
      <rPr>
        <b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function reverses a logical value. It changes </t>
    </r>
    <r>
      <rPr>
        <b/>
        <sz val="11"/>
        <color theme="1"/>
        <rFont val="Aptos Narrow"/>
        <family val="2"/>
        <scheme val="minor"/>
      </rPr>
      <t>TRUE to FALSE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FALSE to TRUE</t>
    </r>
    <r>
      <rPr>
        <sz val="11"/>
        <color theme="1"/>
        <rFont val="Aptos Narrow"/>
        <family val="2"/>
        <scheme val="minor"/>
      </rPr>
      <t>.</t>
    </r>
  </si>
  <si>
    <t>Syntax : =NOT(logical)</t>
  </si>
  <si>
    <t>Q1. Check whether an employee is NOT Working From Home.</t>
  </si>
  <si>
    <t>This means:</t>
  </si>
  <si>
    <r>
      <t xml:space="preserve">If </t>
    </r>
    <r>
      <rPr>
        <b/>
        <sz val="11"/>
        <color theme="1"/>
        <rFont val="Aptos Narrow"/>
        <family val="2"/>
        <scheme val="minor"/>
      </rPr>
      <t>Work From Home = Yes</t>
    </r>
    <r>
      <rPr>
        <sz val="11"/>
        <color theme="1"/>
        <rFont val="Aptos Narrow"/>
        <family val="2"/>
        <scheme val="minor"/>
      </rPr>
      <t xml:space="preserve">, then the employee </t>
    </r>
    <r>
      <rPr>
        <b/>
        <sz val="11"/>
        <color theme="1"/>
        <rFont val="Aptos Narrow"/>
        <family val="2"/>
        <scheme val="minor"/>
      </rPr>
      <t>is working from home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</si>
  <si>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Work From Home = No</t>
    </r>
    <r>
      <rPr>
        <sz val="11"/>
        <color theme="1"/>
        <rFont val="Aptos Narrow"/>
        <family val="2"/>
        <scheme val="minor"/>
      </rPr>
      <t xml:space="preserve">, then the employee </t>
    </r>
    <r>
      <rPr>
        <b/>
        <sz val="11"/>
        <color theme="1"/>
        <rFont val="Aptos Narrow"/>
        <family val="2"/>
        <scheme val="minor"/>
      </rPr>
      <t>is NOT working from home</t>
    </r>
    <r>
      <rPr>
        <sz val="11"/>
        <color theme="1"/>
        <rFont val="Aptos Narrow"/>
        <family val="2"/>
        <scheme val="minor"/>
      </rPr>
      <t>.</t>
    </r>
  </si>
  <si>
    <t>Using IF + Not</t>
  </si>
  <si>
    <t>Office Status</t>
  </si>
  <si>
    <t>Q2. Check whether an employee has NOT achieved the target.</t>
  </si>
  <si>
    <r>
      <t xml:space="preserve">If </t>
    </r>
    <r>
      <rPr>
        <b/>
        <sz val="11"/>
        <color theme="1"/>
        <rFont val="Aptos Narrow"/>
        <family val="2"/>
        <scheme val="minor"/>
      </rPr>
      <t>Target Achieved = Yes</t>
    </r>
    <r>
      <rPr>
        <sz val="11"/>
        <color theme="1"/>
        <rFont val="Aptos Narrow"/>
        <family val="2"/>
        <scheme val="minor"/>
      </rPr>
      <t xml:space="preserve">, then the employee </t>
    </r>
    <r>
      <rPr>
        <b/>
        <sz val="11"/>
        <color theme="1"/>
        <rFont val="Aptos Narrow"/>
        <family val="2"/>
        <scheme val="minor"/>
      </rPr>
      <t>has achieved the target</t>
    </r>
    <r>
      <rPr>
        <sz val="11"/>
        <color theme="1"/>
        <rFont val="Aptos Narrow"/>
        <family val="2"/>
        <scheme val="minor"/>
      </rPr>
      <t>.</t>
    </r>
  </si>
  <si>
    <r>
      <t xml:space="preserve">If </t>
    </r>
    <r>
      <rPr>
        <b/>
        <sz val="11"/>
        <color theme="1"/>
        <rFont val="Aptos Narrow"/>
        <family val="2"/>
        <scheme val="minor"/>
      </rPr>
      <t>Target Achieved = No</t>
    </r>
    <r>
      <rPr>
        <sz val="11"/>
        <color theme="1"/>
        <rFont val="Aptos Narrow"/>
        <family val="2"/>
        <scheme val="minor"/>
      </rPr>
      <t xml:space="preserve">, then the employee </t>
    </r>
    <r>
      <rPr>
        <b/>
        <sz val="11"/>
        <color theme="1"/>
        <rFont val="Aptos Narrow"/>
        <family val="2"/>
        <scheme val="minor"/>
      </rPr>
      <t>has NOT achieved the target</t>
    </r>
    <r>
      <rPr>
        <sz val="11"/>
        <color theme="1"/>
        <rFont val="Aptos Narrow"/>
        <family val="2"/>
        <scheme val="minor"/>
      </rPr>
      <t>.</t>
    </r>
  </si>
  <si>
    <t>Target Status</t>
  </si>
  <si>
    <t>TRUE → Eligible Department</t>
  </si>
  <si>
    <t>FALSE → Not Eligible Department</t>
  </si>
  <si>
    <t>TRUE: Eligible</t>
  </si>
  <si>
    <t>FALSE: Not Eligible.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</si>
</sst>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36DE-B7CF-44A4-BE73-22ABEF91F1BD}">
  <dimension ref="A1:W79"/>
  <sheetViews>
    <sheetView topLeftCell="A10" workbookViewId="0">
      <selection activeCell="D46" sqref="D46"/>
    </sheetView>
  </sheetViews>
  <sheetFormatPr defaultRowHeight="15" x14ac:dyDescent="0.25"/>
  <cols>
    <col min="1" max="1" width="11.7109375" customWidth="1"/>
    <col min="2" max="2" width="12.42578125" bestFit="1" customWidth="1"/>
    <col min="3" max="3" width="15.85546875" bestFit="1" customWidth="1"/>
    <col min="4" max="4" width="16.85546875" customWidth="1"/>
    <col min="5" max="5" width="31.28515625" customWidth="1"/>
    <col min="6" max="6" width="39.140625" customWidth="1"/>
    <col min="7" max="7" width="15.42578125" bestFit="1" customWidth="1"/>
    <col min="8" max="8" width="16.7109375" bestFit="1" customWidth="1"/>
    <col min="9" max="9" width="18.28515625" bestFit="1" customWidth="1"/>
    <col min="10" max="10" width="18.85546875" bestFit="1" customWidth="1"/>
    <col min="13" max="13" width="21" customWidth="1"/>
    <col min="14" max="14" width="26.5703125" customWidth="1"/>
    <col min="15" max="15" width="23.140625" customWidth="1"/>
    <col min="16" max="16" width="16.42578125" customWidth="1"/>
    <col min="17" max="17" width="17.7109375" customWidth="1"/>
    <col min="18" max="18" width="18.140625" customWidth="1"/>
    <col min="19" max="19" width="20.28515625" customWidth="1"/>
    <col min="20" max="20" width="29.85546875" customWidth="1"/>
    <col min="21" max="21" width="21" customWidth="1"/>
  </cols>
  <sheetData>
    <row r="1" spans="1:23" ht="18.75" customHeight="1" x14ac:dyDescent="0.4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13"/>
      <c r="K1" s="13"/>
      <c r="L1" s="13"/>
      <c r="M1" s="13"/>
      <c r="N1" s="13"/>
      <c r="O1" s="13"/>
      <c r="P1" s="13"/>
      <c r="Q1" s="13"/>
      <c r="R1" s="13"/>
      <c r="S1" s="14"/>
      <c r="T1" s="14"/>
      <c r="U1" s="14"/>
      <c r="V1" s="14"/>
      <c r="W1" s="14"/>
    </row>
    <row r="2" spans="1:23" ht="9" customHeight="1" x14ac:dyDescent="0.4">
      <c r="A2" s="28"/>
      <c r="B2" s="28"/>
      <c r="C2" s="28"/>
      <c r="D2" s="28"/>
      <c r="E2" s="28"/>
      <c r="F2" s="28"/>
      <c r="G2" s="28"/>
      <c r="H2" s="28"/>
      <c r="I2" s="28"/>
      <c r="J2" s="13"/>
      <c r="K2" s="13"/>
      <c r="L2" s="13"/>
      <c r="M2" s="13"/>
      <c r="N2" s="13"/>
      <c r="O2" s="13"/>
      <c r="P2" s="13"/>
      <c r="Q2" s="13"/>
      <c r="R2" s="13"/>
      <c r="S2" s="14"/>
      <c r="T2" s="14"/>
      <c r="U2" s="14"/>
      <c r="V2" s="14"/>
      <c r="W2" s="14"/>
    </row>
    <row r="3" spans="1:23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x14ac:dyDescent="0.25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x14ac:dyDescent="0.25">
      <c r="A5" s="14" t="s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ht="18" x14ac:dyDescent="0.25">
      <c r="A7" s="15" t="s">
        <v>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25">
      <c r="A8" s="14" t="s">
        <v>4</v>
      </c>
      <c r="B8" s="14"/>
      <c r="C8" s="14"/>
      <c r="D8" s="14"/>
      <c r="E8" s="16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25">
      <c r="A9" s="14" t="s">
        <v>5</v>
      </c>
      <c r="B9" s="14"/>
      <c r="C9" s="14"/>
      <c r="D9" s="14"/>
      <c r="E9" s="16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x14ac:dyDescent="0.25">
      <c r="A10" s="14" t="s">
        <v>6</v>
      </c>
      <c r="B10" s="14"/>
      <c r="C10" s="14"/>
      <c r="D10" s="14"/>
      <c r="E10" s="16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25">
      <c r="A11" s="14" t="s">
        <v>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25">
      <c r="A12" s="14" t="s">
        <v>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25">
      <c r="A13" s="14" t="s">
        <v>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3.5" customHeight="1" x14ac:dyDescent="0.4">
      <c r="A16" s="28" t="s">
        <v>10</v>
      </c>
      <c r="B16" s="28"/>
      <c r="C16" s="28"/>
      <c r="D16" s="28"/>
      <c r="E16" s="28"/>
      <c r="F16" s="28"/>
      <c r="G16" s="28"/>
      <c r="H16" s="28"/>
      <c r="I16" s="28"/>
      <c r="J16" s="13"/>
      <c r="K16" s="13"/>
      <c r="L16" s="13"/>
      <c r="M16" s="13"/>
      <c r="N16" s="13"/>
      <c r="O16" s="13"/>
      <c r="P16" s="13"/>
      <c r="Q16" s="13"/>
      <c r="R16" s="13"/>
      <c r="S16" s="14"/>
      <c r="T16" s="14"/>
      <c r="U16" s="14"/>
      <c r="V16" s="14"/>
      <c r="W16" s="14"/>
    </row>
    <row r="17" spans="1:23" ht="13.5" customHeight="1" x14ac:dyDescent="0.4">
      <c r="A17" s="28"/>
      <c r="B17" s="28"/>
      <c r="C17" s="28"/>
      <c r="D17" s="28"/>
      <c r="E17" s="28"/>
      <c r="F17" s="28"/>
      <c r="G17" s="28"/>
      <c r="H17" s="28"/>
      <c r="I17" s="28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4"/>
    </row>
    <row r="18" spans="1:23" x14ac:dyDescent="0.25">
      <c r="A18" s="14" t="s">
        <v>11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5">
      <c r="A20" s="14"/>
      <c r="B20" s="14" t="s">
        <v>12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x14ac:dyDescent="0.25">
      <c r="A22" s="14"/>
      <c r="B22" s="4" t="s">
        <v>13</v>
      </c>
      <c r="C22" s="4" t="s">
        <v>14</v>
      </c>
      <c r="D22" s="4" t="s">
        <v>15</v>
      </c>
      <c r="E22" s="4" t="s">
        <v>16</v>
      </c>
      <c r="F22" s="4" t="s">
        <v>17</v>
      </c>
      <c r="G22" s="4" t="s">
        <v>18</v>
      </c>
      <c r="H22" s="4" t="s">
        <v>19</v>
      </c>
      <c r="I22" s="4" t="s">
        <v>20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x14ac:dyDescent="0.25">
      <c r="A23" s="14"/>
      <c r="B23" s="5" t="s">
        <v>21</v>
      </c>
      <c r="C23" s="5" t="s">
        <v>22</v>
      </c>
      <c r="D23" s="5" t="s">
        <v>23</v>
      </c>
      <c r="E23" s="5">
        <v>65000</v>
      </c>
      <c r="F23" s="6">
        <v>0.98</v>
      </c>
      <c r="G23" s="5" t="s">
        <v>24</v>
      </c>
      <c r="H23" s="5" t="s">
        <v>25</v>
      </c>
      <c r="I23" s="5">
        <v>4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x14ac:dyDescent="0.25">
      <c r="A24" s="14"/>
      <c r="B24" s="5" t="s">
        <v>26</v>
      </c>
      <c r="C24" s="5" t="s">
        <v>27</v>
      </c>
      <c r="D24" s="5" t="s">
        <v>23</v>
      </c>
      <c r="E24" s="5">
        <v>42000</v>
      </c>
      <c r="F24" s="6">
        <v>0.96</v>
      </c>
      <c r="G24" s="5" t="s">
        <v>25</v>
      </c>
      <c r="H24" s="5" t="s">
        <v>24</v>
      </c>
      <c r="I24" s="5">
        <v>2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x14ac:dyDescent="0.25">
      <c r="A25" s="14"/>
      <c r="B25" s="5" t="s">
        <v>28</v>
      </c>
      <c r="C25" s="5" t="s">
        <v>29</v>
      </c>
      <c r="D25" s="5" t="s">
        <v>30</v>
      </c>
      <c r="E25" s="5">
        <v>58000</v>
      </c>
      <c r="F25" s="6">
        <v>0.93</v>
      </c>
      <c r="G25" s="5" t="s">
        <v>24</v>
      </c>
      <c r="H25" s="5" t="s">
        <v>25</v>
      </c>
      <c r="I25" s="5">
        <v>5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x14ac:dyDescent="0.25">
      <c r="A26" s="14"/>
      <c r="B26" s="5" t="s">
        <v>31</v>
      </c>
      <c r="C26" s="5" t="s">
        <v>32</v>
      </c>
      <c r="D26" s="5" t="s">
        <v>33</v>
      </c>
      <c r="E26" s="5">
        <v>39000</v>
      </c>
      <c r="F26" s="6">
        <v>0.97</v>
      </c>
      <c r="G26" s="5" t="s">
        <v>24</v>
      </c>
      <c r="H26" s="5" t="s">
        <v>24</v>
      </c>
      <c r="I26" s="5">
        <v>3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x14ac:dyDescent="0.25">
      <c r="A27" s="14"/>
      <c r="B27" s="5" t="s">
        <v>34</v>
      </c>
      <c r="C27" s="5" t="s">
        <v>35</v>
      </c>
      <c r="D27" s="5" t="s">
        <v>23</v>
      </c>
      <c r="E27" s="5">
        <v>72000</v>
      </c>
      <c r="F27" s="6">
        <v>0.99</v>
      </c>
      <c r="G27" s="5" t="s">
        <v>24</v>
      </c>
      <c r="H27" s="5" t="s">
        <v>25</v>
      </c>
      <c r="I27" s="5">
        <v>6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x14ac:dyDescent="0.25">
      <c r="A28" s="14"/>
      <c r="B28" s="5" t="s">
        <v>36</v>
      </c>
      <c r="C28" s="5" t="s">
        <v>37</v>
      </c>
      <c r="D28" s="5" t="s">
        <v>30</v>
      </c>
      <c r="E28" s="5">
        <v>47000</v>
      </c>
      <c r="F28" s="6">
        <v>0.91</v>
      </c>
      <c r="G28" s="5" t="s">
        <v>25</v>
      </c>
      <c r="H28" s="5" t="s">
        <v>24</v>
      </c>
      <c r="I28" s="5">
        <v>2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x14ac:dyDescent="0.25">
      <c r="A29" s="14"/>
      <c r="B29" s="5" t="s">
        <v>38</v>
      </c>
      <c r="C29" s="5" t="s">
        <v>39</v>
      </c>
      <c r="D29" s="5" t="s">
        <v>40</v>
      </c>
      <c r="E29" s="5">
        <v>81000</v>
      </c>
      <c r="F29" s="6">
        <v>0.95</v>
      </c>
      <c r="G29" s="5" t="s">
        <v>24</v>
      </c>
      <c r="H29" s="5" t="s">
        <v>25</v>
      </c>
      <c r="I29" s="5">
        <v>7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x14ac:dyDescent="0.25">
      <c r="A30" s="14"/>
      <c r="B30" s="5" t="s">
        <v>41</v>
      </c>
      <c r="C30" s="5" t="s">
        <v>42</v>
      </c>
      <c r="D30" s="5" t="s">
        <v>33</v>
      </c>
      <c r="E30" s="5">
        <v>36000</v>
      </c>
      <c r="F30" s="6">
        <v>0.89</v>
      </c>
      <c r="G30" s="5" t="s">
        <v>25</v>
      </c>
      <c r="H30" s="5" t="s">
        <v>24</v>
      </c>
      <c r="I30" s="5">
        <v>1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x14ac:dyDescent="0.25">
      <c r="A31" s="14"/>
      <c r="B31" s="5" t="s">
        <v>43</v>
      </c>
      <c r="C31" s="5" t="s">
        <v>44</v>
      </c>
      <c r="D31" s="5" t="s">
        <v>23</v>
      </c>
      <c r="E31" s="5">
        <v>55000</v>
      </c>
      <c r="F31" s="6">
        <v>0.96</v>
      </c>
      <c r="G31" s="5" t="s">
        <v>24</v>
      </c>
      <c r="H31" s="5" t="s">
        <v>25</v>
      </c>
      <c r="I31" s="5">
        <v>4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x14ac:dyDescent="0.25">
      <c r="A32" s="14"/>
      <c r="B32" s="5" t="s">
        <v>45</v>
      </c>
      <c r="C32" s="5" t="s">
        <v>46</v>
      </c>
      <c r="D32" s="5" t="s">
        <v>30</v>
      </c>
      <c r="E32" s="5">
        <v>48000</v>
      </c>
      <c r="F32" s="6">
        <v>0.94</v>
      </c>
      <c r="G32" s="5" t="s">
        <v>25</v>
      </c>
      <c r="H32" s="5" t="s">
        <v>25</v>
      </c>
      <c r="I32" s="5">
        <v>3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x14ac:dyDescent="0.25">
      <c r="A34" s="16" t="s">
        <v>47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x14ac:dyDescent="0.25">
      <c r="A35" s="20" t="s">
        <v>48</v>
      </c>
      <c r="B35" s="21" t="s">
        <v>49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 t="s">
        <v>50</v>
      </c>
      <c r="P35" s="14"/>
      <c r="Q35" s="14"/>
      <c r="R35" s="14"/>
      <c r="S35" s="14"/>
      <c r="T35" s="14"/>
      <c r="U35" s="14"/>
      <c r="V35" s="14"/>
      <c r="W35" s="14"/>
    </row>
    <row r="36" spans="1:23" x14ac:dyDescent="0.25">
      <c r="A36" s="2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x14ac:dyDescent="0.25">
      <c r="A37" s="21"/>
      <c r="B37" s="8" t="s">
        <v>13</v>
      </c>
      <c r="C37" s="8" t="s">
        <v>14</v>
      </c>
      <c r="D37" s="8" t="s">
        <v>15</v>
      </c>
      <c r="E37" s="8" t="s">
        <v>16</v>
      </c>
      <c r="F37" s="8" t="s">
        <v>17</v>
      </c>
      <c r="G37" s="8" t="s">
        <v>18</v>
      </c>
      <c r="H37" s="8" t="s">
        <v>19</v>
      </c>
      <c r="I37" s="8" t="s">
        <v>20</v>
      </c>
      <c r="J37" s="8" t="s">
        <v>51</v>
      </c>
      <c r="K37" s="14"/>
      <c r="L37" s="14"/>
      <c r="M37" s="17" t="s">
        <v>13</v>
      </c>
      <c r="N37" s="17" t="s">
        <v>14</v>
      </c>
      <c r="O37" s="17" t="s">
        <v>15</v>
      </c>
      <c r="P37" s="17" t="s">
        <v>16</v>
      </c>
      <c r="Q37" s="17" t="s">
        <v>17</v>
      </c>
      <c r="R37" s="17" t="s">
        <v>18</v>
      </c>
      <c r="S37" s="17" t="s">
        <v>19</v>
      </c>
      <c r="T37" s="17" t="s">
        <v>20</v>
      </c>
      <c r="U37" s="22" t="s">
        <v>51</v>
      </c>
      <c r="V37" s="14"/>
      <c r="W37" s="14"/>
    </row>
    <row r="38" spans="1:23" x14ac:dyDescent="0.25">
      <c r="A38" s="14"/>
      <c r="B38" s="9" t="s">
        <v>21</v>
      </c>
      <c r="C38" s="9" t="s">
        <v>22</v>
      </c>
      <c r="D38" s="9" t="s">
        <v>23</v>
      </c>
      <c r="E38" s="9">
        <v>65000</v>
      </c>
      <c r="F38" s="25">
        <v>0.98</v>
      </c>
      <c r="G38" s="9" t="s">
        <v>24</v>
      </c>
      <c r="H38" s="9" t="s">
        <v>25</v>
      </c>
      <c r="I38" s="9">
        <v>4</v>
      </c>
      <c r="J38" s="9" t="b">
        <f>AND(E38&gt;=50000,F38&gt;=95%)</f>
        <v>1</v>
      </c>
      <c r="K38" s="14"/>
      <c r="L38" s="14"/>
      <c r="M38" s="18" t="s">
        <v>21</v>
      </c>
      <c r="N38" s="18" t="s">
        <v>22</v>
      </c>
      <c r="O38" s="18" t="s">
        <v>23</v>
      </c>
      <c r="P38" s="18">
        <v>65000</v>
      </c>
      <c r="Q38" s="19">
        <v>0.98</v>
      </c>
      <c r="R38" s="18" t="s">
        <v>24</v>
      </c>
      <c r="S38" s="18" t="s">
        <v>25</v>
      </c>
      <c r="T38" s="18">
        <v>4</v>
      </c>
      <c r="U38" s="23" t="str">
        <f>IF(AND(P38&gt;=5000,Q38&gt;=95%),"Eligible","Not Eligible")</f>
        <v>Eligible</v>
      </c>
      <c r="V38" s="14"/>
      <c r="W38" s="14"/>
    </row>
    <row r="39" spans="1:23" x14ac:dyDescent="0.25">
      <c r="A39" s="16"/>
      <c r="B39" s="9" t="s">
        <v>26</v>
      </c>
      <c r="C39" s="9" t="s">
        <v>27</v>
      </c>
      <c r="D39" s="9" t="s">
        <v>23</v>
      </c>
      <c r="E39" s="9">
        <v>42000</v>
      </c>
      <c r="F39" s="25">
        <v>0.96</v>
      </c>
      <c r="G39" s="9" t="s">
        <v>25</v>
      </c>
      <c r="H39" s="9" t="s">
        <v>24</v>
      </c>
      <c r="I39" s="9">
        <v>2</v>
      </c>
      <c r="J39" s="9" t="b">
        <f t="shared" ref="J39:J47" si="0">AND(E39&gt;=50000,F39&gt;=95%)</f>
        <v>0</v>
      </c>
      <c r="K39" s="14"/>
      <c r="L39" s="14"/>
      <c r="M39" s="18" t="s">
        <v>26</v>
      </c>
      <c r="N39" s="18" t="s">
        <v>27</v>
      </c>
      <c r="O39" s="18" t="s">
        <v>23</v>
      </c>
      <c r="P39" s="18">
        <v>42000</v>
      </c>
      <c r="Q39" s="19">
        <v>0.96</v>
      </c>
      <c r="R39" s="18" t="s">
        <v>25</v>
      </c>
      <c r="S39" s="18" t="s">
        <v>24</v>
      </c>
      <c r="T39" s="18">
        <v>2</v>
      </c>
      <c r="U39" s="23" t="str">
        <f t="shared" ref="U39:U47" si="1">IF(AND(P39&gt;=5000,Q39&gt;=95%),"Eligible","Not Eligible")</f>
        <v>Eligible</v>
      </c>
      <c r="V39" s="14"/>
      <c r="W39" s="14"/>
    </row>
    <row r="40" spans="1:23" x14ac:dyDescent="0.25">
      <c r="A40" s="14"/>
      <c r="B40" s="9" t="s">
        <v>28</v>
      </c>
      <c r="C40" s="9" t="s">
        <v>29</v>
      </c>
      <c r="D40" s="9" t="s">
        <v>30</v>
      </c>
      <c r="E40" s="9">
        <v>58000</v>
      </c>
      <c r="F40" s="25">
        <v>0.93</v>
      </c>
      <c r="G40" s="9" t="s">
        <v>24</v>
      </c>
      <c r="H40" s="9" t="s">
        <v>25</v>
      </c>
      <c r="I40" s="9">
        <v>5</v>
      </c>
      <c r="J40" s="9" t="b">
        <f t="shared" si="0"/>
        <v>0</v>
      </c>
      <c r="K40" s="14"/>
      <c r="L40" s="14"/>
      <c r="M40" s="18" t="s">
        <v>28</v>
      </c>
      <c r="N40" s="18" t="s">
        <v>29</v>
      </c>
      <c r="O40" s="18" t="s">
        <v>30</v>
      </c>
      <c r="P40" s="18">
        <v>58000</v>
      </c>
      <c r="Q40" s="19">
        <v>0.93</v>
      </c>
      <c r="R40" s="18" t="s">
        <v>24</v>
      </c>
      <c r="S40" s="18" t="s">
        <v>25</v>
      </c>
      <c r="T40" s="18">
        <v>5</v>
      </c>
      <c r="U40" s="23" t="str">
        <f t="shared" si="1"/>
        <v>Not Eligible</v>
      </c>
      <c r="V40" s="14"/>
      <c r="W40" s="14"/>
    </row>
    <row r="41" spans="1:23" x14ac:dyDescent="0.25">
      <c r="A41" s="14"/>
      <c r="B41" s="9" t="s">
        <v>31</v>
      </c>
      <c r="C41" s="9" t="s">
        <v>32</v>
      </c>
      <c r="D41" s="9" t="s">
        <v>33</v>
      </c>
      <c r="E41" s="9">
        <v>39000</v>
      </c>
      <c r="F41" s="25">
        <v>0.97</v>
      </c>
      <c r="G41" s="9" t="s">
        <v>24</v>
      </c>
      <c r="H41" s="9" t="s">
        <v>24</v>
      </c>
      <c r="I41" s="9">
        <v>3</v>
      </c>
      <c r="J41" s="9" t="b">
        <f t="shared" si="0"/>
        <v>0</v>
      </c>
      <c r="K41" s="14"/>
      <c r="L41" s="14"/>
      <c r="M41" s="18" t="s">
        <v>31</v>
      </c>
      <c r="N41" s="18" t="s">
        <v>32</v>
      </c>
      <c r="O41" s="18" t="s">
        <v>33</v>
      </c>
      <c r="P41" s="18">
        <v>39000</v>
      </c>
      <c r="Q41" s="19">
        <v>0.97</v>
      </c>
      <c r="R41" s="18" t="s">
        <v>24</v>
      </c>
      <c r="S41" s="18" t="s">
        <v>24</v>
      </c>
      <c r="T41" s="18">
        <v>3</v>
      </c>
      <c r="U41" s="23" t="str">
        <f t="shared" si="1"/>
        <v>Eligible</v>
      </c>
      <c r="V41" s="14"/>
      <c r="W41" s="14"/>
    </row>
    <row r="42" spans="1:23" x14ac:dyDescent="0.25">
      <c r="A42" s="14"/>
      <c r="B42" s="9" t="s">
        <v>34</v>
      </c>
      <c r="C42" s="9" t="s">
        <v>35</v>
      </c>
      <c r="D42" s="9" t="s">
        <v>23</v>
      </c>
      <c r="E42" s="9">
        <v>72000</v>
      </c>
      <c r="F42" s="25">
        <v>0.99</v>
      </c>
      <c r="G42" s="9" t="s">
        <v>24</v>
      </c>
      <c r="H42" s="9" t="s">
        <v>25</v>
      </c>
      <c r="I42" s="9">
        <v>6</v>
      </c>
      <c r="J42" s="9" t="b">
        <f t="shared" si="0"/>
        <v>1</v>
      </c>
      <c r="K42" s="14"/>
      <c r="L42" s="14"/>
      <c r="M42" s="18" t="s">
        <v>34</v>
      </c>
      <c r="N42" s="18" t="s">
        <v>35</v>
      </c>
      <c r="O42" s="18" t="s">
        <v>23</v>
      </c>
      <c r="P42" s="18">
        <v>72000</v>
      </c>
      <c r="Q42" s="19">
        <v>0.99</v>
      </c>
      <c r="R42" s="18" t="s">
        <v>24</v>
      </c>
      <c r="S42" s="18" t="s">
        <v>25</v>
      </c>
      <c r="T42" s="18">
        <v>6</v>
      </c>
      <c r="U42" s="23" t="str">
        <f t="shared" si="1"/>
        <v>Eligible</v>
      </c>
      <c r="V42" s="14"/>
      <c r="W42" s="14"/>
    </row>
    <row r="43" spans="1:23" x14ac:dyDescent="0.25">
      <c r="A43" s="14"/>
      <c r="B43" s="9" t="s">
        <v>36</v>
      </c>
      <c r="C43" s="9" t="s">
        <v>37</v>
      </c>
      <c r="D43" s="9" t="s">
        <v>30</v>
      </c>
      <c r="E43" s="9">
        <v>47000</v>
      </c>
      <c r="F43" s="25">
        <v>0.91</v>
      </c>
      <c r="G43" s="9" t="s">
        <v>25</v>
      </c>
      <c r="H43" s="9" t="s">
        <v>24</v>
      </c>
      <c r="I43" s="9">
        <v>2</v>
      </c>
      <c r="J43" s="9" t="b">
        <f t="shared" si="0"/>
        <v>0</v>
      </c>
      <c r="K43" s="14"/>
      <c r="L43" s="14"/>
      <c r="M43" s="18" t="s">
        <v>36</v>
      </c>
      <c r="N43" s="18" t="s">
        <v>37</v>
      </c>
      <c r="O43" s="18" t="s">
        <v>30</v>
      </c>
      <c r="P43" s="18">
        <v>47000</v>
      </c>
      <c r="Q43" s="19">
        <v>0.91</v>
      </c>
      <c r="R43" s="18" t="s">
        <v>25</v>
      </c>
      <c r="S43" s="18" t="s">
        <v>24</v>
      </c>
      <c r="T43" s="18">
        <v>2</v>
      </c>
      <c r="U43" s="23" t="str">
        <f t="shared" si="1"/>
        <v>Not Eligible</v>
      </c>
      <c r="V43" s="14"/>
      <c r="W43" s="14"/>
    </row>
    <row r="44" spans="1:23" x14ac:dyDescent="0.25">
      <c r="A44" s="14"/>
      <c r="B44" s="9" t="s">
        <v>38</v>
      </c>
      <c r="C44" s="9" t="s">
        <v>39</v>
      </c>
      <c r="D44" s="9" t="s">
        <v>40</v>
      </c>
      <c r="E44" s="9">
        <v>81000</v>
      </c>
      <c r="F44" s="25">
        <v>0.95</v>
      </c>
      <c r="G44" s="9" t="s">
        <v>24</v>
      </c>
      <c r="H44" s="9" t="s">
        <v>25</v>
      </c>
      <c r="I44" s="9">
        <v>7</v>
      </c>
      <c r="J44" s="9" t="b">
        <f t="shared" si="0"/>
        <v>1</v>
      </c>
      <c r="K44" s="14"/>
      <c r="L44" s="14"/>
      <c r="M44" s="18" t="s">
        <v>38</v>
      </c>
      <c r="N44" s="18" t="s">
        <v>39</v>
      </c>
      <c r="O44" s="18" t="s">
        <v>40</v>
      </c>
      <c r="P44" s="18">
        <v>81000</v>
      </c>
      <c r="Q44" s="19">
        <v>0.95</v>
      </c>
      <c r="R44" s="18" t="s">
        <v>24</v>
      </c>
      <c r="S44" s="18" t="s">
        <v>25</v>
      </c>
      <c r="T44" s="18">
        <v>7</v>
      </c>
      <c r="U44" s="23" t="str">
        <f t="shared" si="1"/>
        <v>Eligible</v>
      </c>
      <c r="V44" s="14"/>
      <c r="W44" s="14"/>
    </row>
    <row r="45" spans="1:23" x14ac:dyDescent="0.25">
      <c r="A45" s="14"/>
      <c r="B45" s="9" t="s">
        <v>41</v>
      </c>
      <c r="C45" s="9" t="s">
        <v>42</v>
      </c>
      <c r="D45" s="9" t="s">
        <v>33</v>
      </c>
      <c r="E45" s="9">
        <v>36000</v>
      </c>
      <c r="F45" s="25">
        <v>0.89</v>
      </c>
      <c r="G45" s="9" t="s">
        <v>25</v>
      </c>
      <c r="H45" s="9" t="s">
        <v>24</v>
      </c>
      <c r="I45" s="9">
        <v>1</v>
      </c>
      <c r="J45" s="9" t="b">
        <f t="shared" si="0"/>
        <v>0</v>
      </c>
      <c r="K45" s="14"/>
      <c r="L45" s="14"/>
      <c r="M45" s="18" t="s">
        <v>41</v>
      </c>
      <c r="N45" s="18" t="s">
        <v>42</v>
      </c>
      <c r="O45" s="18" t="s">
        <v>33</v>
      </c>
      <c r="P45" s="18">
        <v>36000</v>
      </c>
      <c r="Q45" s="19">
        <v>0.89</v>
      </c>
      <c r="R45" s="18" t="s">
        <v>25</v>
      </c>
      <c r="S45" s="18" t="s">
        <v>24</v>
      </c>
      <c r="T45" s="18">
        <v>1</v>
      </c>
      <c r="U45" s="23" t="str">
        <f t="shared" si="1"/>
        <v>Not Eligible</v>
      </c>
      <c r="V45" s="14"/>
      <c r="W45" s="14"/>
    </row>
    <row r="46" spans="1:23" x14ac:dyDescent="0.25">
      <c r="A46" s="14"/>
      <c r="B46" s="9" t="s">
        <v>43</v>
      </c>
      <c r="C46" s="9" t="s">
        <v>44</v>
      </c>
      <c r="D46" s="9" t="s">
        <v>23</v>
      </c>
      <c r="E46" s="9">
        <v>55000</v>
      </c>
      <c r="F46" s="25">
        <v>0.96</v>
      </c>
      <c r="G46" s="9" t="s">
        <v>24</v>
      </c>
      <c r="H46" s="9" t="s">
        <v>25</v>
      </c>
      <c r="I46" s="9">
        <v>4</v>
      </c>
      <c r="J46" s="9" t="b">
        <f t="shared" si="0"/>
        <v>1</v>
      </c>
      <c r="K46" s="14"/>
      <c r="L46" s="14"/>
      <c r="M46" s="18" t="s">
        <v>43</v>
      </c>
      <c r="N46" s="18" t="s">
        <v>44</v>
      </c>
      <c r="O46" s="18" t="s">
        <v>23</v>
      </c>
      <c r="P46" s="18">
        <v>55000</v>
      </c>
      <c r="Q46" s="19">
        <v>0.96</v>
      </c>
      <c r="R46" s="18" t="s">
        <v>24</v>
      </c>
      <c r="S46" s="18" t="s">
        <v>25</v>
      </c>
      <c r="T46" s="18">
        <v>4</v>
      </c>
      <c r="U46" s="23" t="str">
        <f t="shared" si="1"/>
        <v>Eligible</v>
      </c>
      <c r="V46" s="14"/>
      <c r="W46" s="14"/>
    </row>
    <row r="47" spans="1:23" x14ac:dyDescent="0.25">
      <c r="A47" s="14"/>
      <c r="B47" s="9" t="s">
        <v>45</v>
      </c>
      <c r="C47" s="9" t="s">
        <v>46</v>
      </c>
      <c r="D47" s="9" t="s">
        <v>30</v>
      </c>
      <c r="E47" s="9">
        <v>48000</v>
      </c>
      <c r="F47" s="25">
        <v>0.94</v>
      </c>
      <c r="G47" s="9" t="s">
        <v>25</v>
      </c>
      <c r="H47" s="9" t="s">
        <v>25</v>
      </c>
      <c r="I47" s="9">
        <v>3</v>
      </c>
      <c r="J47" s="9" t="b">
        <f t="shared" si="0"/>
        <v>0</v>
      </c>
      <c r="K47" s="14"/>
      <c r="L47" s="14"/>
      <c r="M47" s="18" t="s">
        <v>45</v>
      </c>
      <c r="N47" s="18" t="s">
        <v>46</v>
      </c>
      <c r="O47" s="18" t="s">
        <v>30</v>
      </c>
      <c r="P47" s="18">
        <v>48000</v>
      </c>
      <c r="Q47" s="19">
        <v>0.94</v>
      </c>
      <c r="R47" s="18" t="s">
        <v>25</v>
      </c>
      <c r="S47" s="18" t="s">
        <v>25</v>
      </c>
      <c r="T47" s="18">
        <v>3</v>
      </c>
      <c r="U47" s="23" t="str">
        <f t="shared" si="1"/>
        <v>Not Eligible</v>
      </c>
      <c r="V47" s="14"/>
      <c r="W47" s="14"/>
    </row>
    <row r="48" spans="1:23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1:23" x14ac:dyDescent="0.25">
      <c r="A49" s="16" t="s">
        <v>52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x14ac:dyDescent="0.25">
      <c r="A50" s="14" t="s">
        <v>53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spans="1:23" x14ac:dyDescent="0.25">
      <c r="A51" s="14" t="s">
        <v>54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spans="1:23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 t="s">
        <v>50</v>
      </c>
      <c r="P52" s="14"/>
      <c r="Q52" s="14"/>
      <c r="R52" s="14"/>
      <c r="S52" s="14"/>
      <c r="T52" s="14"/>
      <c r="U52" s="14"/>
      <c r="V52" s="14"/>
      <c r="W52" s="14"/>
    </row>
    <row r="53" spans="1:23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spans="1:23" x14ac:dyDescent="0.25">
      <c r="A54" s="14"/>
      <c r="B54" s="4" t="s">
        <v>13</v>
      </c>
      <c r="C54" s="4" t="s">
        <v>14</v>
      </c>
      <c r="D54" s="4" t="s">
        <v>15</v>
      </c>
      <c r="E54" s="4" t="s">
        <v>16</v>
      </c>
      <c r="F54" s="4" t="s">
        <v>17</v>
      </c>
      <c r="G54" s="4" t="s">
        <v>18</v>
      </c>
      <c r="H54" s="4" t="s">
        <v>19</v>
      </c>
      <c r="I54" s="4" t="s">
        <v>20</v>
      </c>
      <c r="J54" s="8" t="s">
        <v>55</v>
      </c>
      <c r="K54" s="14"/>
      <c r="L54" s="14"/>
      <c r="M54" s="4" t="s">
        <v>13</v>
      </c>
      <c r="N54" s="4" t="s">
        <v>14</v>
      </c>
      <c r="O54" s="4" t="s">
        <v>15</v>
      </c>
      <c r="P54" s="4" t="s">
        <v>16</v>
      </c>
      <c r="Q54" s="4" t="s">
        <v>17</v>
      </c>
      <c r="R54" s="4" t="s">
        <v>18</v>
      </c>
      <c r="S54" s="4" t="s">
        <v>19</v>
      </c>
      <c r="T54" s="4" t="s">
        <v>20</v>
      </c>
      <c r="U54" s="8" t="s">
        <v>55</v>
      </c>
      <c r="V54" s="14"/>
      <c r="W54" s="14"/>
    </row>
    <row r="55" spans="1:23" x14ac:dyDescent="0.25">
      <c r="A55" s="14"/>
      <c r="B55" s="5" t="s">
        <v>21</v>
      </c>
      <c r="C55" s="5" t="s">
        <v>22</v>
      </c>
      <c r="D55" s="5" t="s">
        <v>23</v>
      </c>
      <c r="E55" s="5">
        <v>65000</v>
      </c>
      <c r="F55" s="6">
        <v>0.98</v>
      </c>
      <c r="G55" s="5" t="s">
        <v>24</v>
      </c>
      <c r="H55" s="5" t="s">
        <v>25</v>
      </c>
      <c r="I55" s="5">
        <v>4</v>
      </c>
      <c r="J55" s="9"/>
      <c r="K55" s="14"/>
      <c r="L55" s="14"/>
      <c r="M55" s="5" t="s">
        <v>21</v>
      </c>
      <c r="N55" s="5" t="s">
        <v>22</v>
      </c>
      <c r="O55" s="5" t="s">
        <v>23</v>
      </c>
      <c r="P55" s="5">
        <v>65000</v>
      </c>
      <c r="Q55" s="6">
        <v>0.98</v>
      </c>
      <c r="R55" s="5" t="s">
        <v>24</v>
      </c>
      <c r="S55" s="5" t="s">
        <v>25</v>
      </c>
      <c r="T55" s="5">
        <v>4</v>
      </c>
      <c r="U55" s="9"/>
      <c r="V55" s="14"/>
      <c r="W55" s="14"/>
    </row>
    <row r="56" spans="1:23" x14ac:dyDescent="0.25">
      <c r="A56" s="14"/>
      <c r="B56" s="5" t="s">
        <v>26</v>
      </c>
      <c r="C56" s="5" t="s">
        <v>27</v>
      </c>
      <c r="D56" s="5" t="s">
        <v>23</v>
      </c>
      <c r="E56" s="5">
        <v>42000</v>
      </c>
      <c r="F56" s="6">
        <v>0.96</v>
      </c>
      <c r="G56" s="5" t="s">
        <v>25</v>
      </c>
      <c r="H56" s="5" t="s">
        <v>24</v>
      </c>
      <c r="I56" s="5">
        <v>2</v>
      </c>
      <c r="J56" s="9"/>
      <c r="K56" s="14"/>
      <c r="L56" s="14"/>
      <c r="M56" s="5" t="s">
        <v>26</v>
      </c>
      <c r="N56" s="5" t="s">
        <v>27</v>
      </c>
      <c r="O56" s="5" t="s">
        <v>23</v>
      </c>
      <c r="P56" s="5">
        <v>42000</v>
      </c>
      <c r="Q56" s="6">
        <v>0.96</v>
      </c>
      <c r="R56" s="5" t="s">
        <v>25</v>
      </c>
      <c r="S56" s="5" t="s">
        <v>24</v>
      </c>
      <c r="T56" s="5">
        <v>2</v>
      </c>
      <c r="U56" s="9"/>
      <c r="V56" s="14"/>
      <c r="W56" s="14"/>
    </row>
    <row r="57" spans="1:23" x14ac:dyDescent="0.25">
      <c r="A57" s="14"/>
      <c r="B57" s="5" t="s">
        <v>28</v>
      </c>
      <c r="C57" s="5" t="s">
        <v>29</v>
      </c>
      <c r="D57" s="5" t="s">
        <v>30</v>
      </c>
      <c r="E57" s="5">
        <v>58000</v>
      </c>
      <c r="F57" s="6">
        <v>0.93</v>
      </c>
      <c r="G57" s="5" t="s">
        <v>24</v>
      </c>
      <c r="H57" s="5" t="s">
        <v>25</v>
      </c>
      <c r="I57" s="5">
        <v>5</v>
      </c>
      <c r="J57" s="9"/>
      <c r="K57" s="14"/>
      <c r="L57" s="14"/>
      <c r="M57" s="5" t="s">
        <v>28</v>
      </c>
      <c r="N57" s="5" t="s">
        <v>29</v>
      </c>
      <c r="O57" s="5" t="s">
        <v>30</v>
      </c>
      <c r="P57" s="5">
        <v>58000</v>
      </c>
      <c r="Q57" s="6">
        <v>0.93</v>
      </c>
      <c r="R57" s="5" t="s">
        <v>24</v>
      </c>
      <c r="S57" s="5" t="s">
        <v>25</v>
      </c>
      <c r="T57" s="5">
        <v>5</v>
      </c>
      <c r="U57" s="9"/>
      <c r="V57" s="14"/>
      <c r="W57" s="14"/>
    </row>
    <row r="58" spans="1:23" x14ac:dyDescent="0.25">
      <c r="A58" s="14"/>
      <c r="B58" s="5" t="s">
        <v>31</v>
      </c>
      <c r="C58" s="5" t="s">
        <v>32</v>
      </c>
      <c r="D58" s="5" t="s">
        <v>33</v>
      </c>
      <c r="E58" s="5">
        <v>39000</v>
      </c>
      <c r="F58" s="6">
        <v>0.97</v>
      </c>
      <c r="G58" s="5" t="s">
        <v>24</v>
      </c>
      <c r="H58" s="5" t="s">
        <v>24</v>
      </c>
      <c r="I58" s="5">
        <v>3</v>
      </c>
      <c r="J58" s="9"/>
      <c r="K58" s="14"/>
      <c r="L58" s="14"/>
      <c r="M58" s="5" t="s">
        <v>31</v>
      </c>
      <c r="N58" s="5" t="s">
        <v>32</v>
      </c>
      <c r="O58" s="5" t="s">
        <v>33</v>
      </c>
      <c r="P58" s="5">
        <v>39000</v>
      </c>
      <c r="Q58" s="6">
        <v>0.97</v>
      </c>
      <c r="R58" s="5" t="s">
        <v>24</v>
      </c>
      <c r="S58" s="5" t="s">
        <v>24</v>
      </c>
      <c r="T58" s="5">
        <v>3</v>
      </c>
      <c r="U58" s="9"/>
      <c r="V58" s="14"/>
      <c r="W58" s="14"/>
    </row>
    <row r="59" spans="1:23" x14ac:dyDescent="0.25">
      <c r="A59" s="14"/>
      <c r="B59" s="5" t="s">
        <v>34</v>
      </c>
      <c r="C59" s="5" t="s">
        <v>35</v>
      </c>
      <c r="D59" s="5" t="s">
        <v>23</v>
      </c>
      <c r="E59" s="5">
        <v>72000</v>
      </c>
      <c r="F59" s="6">
        <v>0.99</v>
      </c>
      <c r="G59" s="5" t="s">
        <v>24</v>
      </c>
      <c r="H59" s="5" t="s">
        <v>25</v>
      </c>
      <c r="I59" s="5">
        <v>6</v>
      </c>
      <c r="J59" s="9"/>
      <c r="K59" s="14"/>
      <c r="L59" s="14"/>
      <c r="M59" s="5" t="s">
        <v>34</v>
      </c>
      <c r="N59" s="5" t="s">
        <v>35</v>
      </c>
      <c r="O59" s="5" t="s">
        <v>23</v>
      </c>
      <c r="P59" s="5">
        <v>72000</v>
      </c>
      <c r="Q59" s="6">
        <v>0.99</v>
      </c>
      <c r="R59" s="5" t="s">
        <v>24</v>
      </c>
      <c r="S59" s="5" t="s">
        <v>25</v>
      </c>
      <c r="T59" s="5">
        <v>6</v>
      </c>
      <c r="U59" s="9"/>
      <c r="V59" s="14"/>
      <c r="W59" s="14"/>
    </row>
    <row r="60" spans="1:23" x14ac:dyDescent="0.25">
      <c r="A60" s="14"/>
      <c r="B60" s="5" t="s">
        <v>36</v>
      </c>
      <c r="C60" s="5" t="s">
        <v>37</v>
      </c>
      <c r="D60" s="5" t="s">
        <v>30</v>
      </c>
      <c r="E60" s="5">
        <v>47000</v>
      </c>
      <c r="F60" s="6">
        <v>0.91</v>
      </c>
      <c r="G60" s="5" t="s">
        <v>25</v>
      </c>
      <c r="H60" s="5" t="s">
        <v>24</v>
      </c>
      <c r="I60" s="5">
        <v>2</v>
      </c>
      <c r="J60" s="9"/>
      <c r="K60" s="14"/>
      <c r="L60" s="14"/>
      <c r="M60" s="5" t="s">
        <v>36</v>
      </c>
      <c r="N60" s="5" t="s">
        <v>37</v>
      </c>
      <c r="O60" s="5" t="s">
        <v>30</v>
      </c>
      <c r="P60" s="5">
        <v>47000</v>
      </c>
      <c r="Q60" s="6">
        <v>0.91</v>
      </c>
      <c r="R60" s="5" t="s">
        <v>25</v>
      </c>
      <c r="S60" s="5" t="s">
        <v>24</v>
      </c>
      <c r="T60" s="5">
        <v>2</v>
      </c>
      <c r="U60" s="9"/>
      <c r="V60" s="14"/>
      <c r="W60" s="14"/>
    </row>
    <row r="61" spans="1:23" x14ac:dyDescent="0.25">
      <c r="A61" s="14"/>
      <c r="B61" s="5" t="s">
        <v>38</v>
      </c>
      <c r="C61" s="5" t="s">
        <v>39</v>
      </c>
      <c r="D61" s="5" t="s">
        <v>40</v>
      </c>
      <c r="E61" s="5">
        <v>81000</v>
      </c>
      <c r="F61" s="6">
        <v>0.95</v>
      </c>
      <c r="G61" s="5" t="s">
        <v>24</v>
      </c>
      <c r="H61" s="5" t="s">
        <v>25</v>
      </c>
      <c r="I61" s="5">
        <v>7</v>
      </c>
      <c r="J61" s="9"/>
      <c r="K61" s="14"/>
      <c r="L61" s="14"/>
      <c r="M61" s="5" t="s">
        <v>38</v>
      </c>
      <c r="N61" s="5" t="s">
        <v>39</v>
      </c>
      <c r="O61" s="5" t="s">
        <v>40</v>
      </c>
      <c r="P61" s="5">
        <v>81000</v>
      </c>
      <c r="Q61" s="6">
        <v>0.95</v>
      </c>
      <c r="R61" s="5" t="s">
        <v>24</v>
      </c>
      <c r="S61" s="5" t="s">
        <v>25</v>
      </c>
      <c r="T61" s="5">
        <v>7</v>
      </c>
      <c r="U61" s="9"/>
      <c r="V61" s="14"/>
      <c r="W61" s="14"/>
    </row>
    <row r="62" spans="1:23" x14ac:dyDescent="0.25">
      <c r="A62" s="14"/>
      <c r="B62" s="5" t="s">
        <v>41</v>
      </c>
      <c r="C62" s="5" t="s">
        <v>42</v>
      </c>
      <c r="D62" s="5" t="s">
        <v>33</v>
      </c>
      <c r="E62" s="5">
        <v>36000</v>
      </c>
      <c r="F62" s="6">
        <v>0.89</v>
      </c>
      <c r="G62" s="5" t="s">
        <v>25</v>
      </c>
      <c r="H62" s="5" t="s">
        <v>24</v>
      </c>
      <c r="I62" s="5">
        <v>1</v>
      </c>
      <c r="J62" s="9"/>
      <c r="K62" s="14"/>
      <c r="L62" s="14"/>
      <c r="M62" s="5" t="s">
        <v>41</v>
      </c>
      <c r="N62" s="5" t="s">
        <v>42</v>
      </c>
      <c r="O62" s="5" t="s">
        <v>33</v>
      </c>
      <c r="P62" s="5">
        <v>36000</v>
      </c>
      <c r="Q62" s="6">
        <v>0.89</v>
      </c>
      <c r="R62" s="5" t="s">
        <v>25</v>
      </c>
      <c r="S62" s="5" t="s">
        <v>24</v>
      </c>
      <c r="T62" s="5">
        <v>1</v>
      </c>
      <c r="U62" s="9"/>
      <c r="V62" s="14"/>
      <c r="W62" s="14"/>
    </row>
    <row r="63" spans="1:23" x14ac:dyDescent="0.25">
      <c r="A63" s="14"/>
      <c r="B63" s="5" t="s">
        <v>43</v>
      </c>
      <c r="C63" s="5" t="s">
        <v>44</v>
      </c>
      <c r="D63" s="5" t="s">
        <v>23</v>
      </c>
      <c r="E63" s="5">
        <v>55000</v>
      </c>
      <c r="F63" s="6">
        <v>0.96</v>
      </c>
      <c r="G63" s="5" t="s">
        <v>24</v>
      </c>
      <c r="H63" s="5" t="s">
        <v>25</v>
      </c>
      <c r="I63" s="5">
        <v>4</v>
      </c>
      <c r="J63" s="9"/>
      <c r="K63" s="14"/>
      <c r="L63" s="14"/>
      <c r="M63" s="5" t="s">
        <v>43</v>
      </c>
      <c r="N63" s="5" t="s">
        <v>44</v>
      </c>
      <c r="O63" s="5" t="s">
        <v>23</v>
      </c>
      <c r="P63" s="5">
        <v>55000</v>
      </c>
      <c r="Q63" s="6">
        <v>0.96</v>
      </c>
      <c r="R63" s="5" t="s">
        <v>24</v>
      </c>
      <c r="S63" s="5" t="s">
        <v>25</v>
      </c>
      <c r="T63" s="5">
        <v>4</v>
      </c>
      <c r="U63" s="9"/>
      <c r="V63" s="14"/>
      <c r="W63" s="14"/>
    </row>
    <row r="64" spans="1:23" x14ac:dyDescent="0.25">
      <c r="A64" s="14"/>
      <c r="B64" s="5" t="s">
        <v>45</v>
      </c>
      <c r="C64" s="5" t="s">
        <v>46</v>
      </c>
      <c r="D64" s="5" t="s">
        <v>30</v>
      </c>
      <c r="E64" s="5">
        <v>48000</v>
      </c>
      <c r="F64" s="6">
        <v>0.94</v>
      </c>
      <c r="G64" s="5" t="s">
        <v>25</v>
      </c>
      <c r="H64" s="5" t="s">
        <v>25</v>
      </c>
      <c r="I64" s="5">
        <v>3</v>
      </c>
      <c r="J64" s="9"/>
      <c r="K64" s="14"/>
      <c r="L64" s="14"/>
      <c r="M64" s="5" t="s">
        <v>45</v>
      </c>
      <c r="N64" s="5" t="s">
        <v>46</v>
      </c>
      <c r="O64" s="5" t="s">
        <v>30</v>
      </c>
      <c r="P64" s="5">
        <v>48000</v>
      </c>
      <c r="Q64" s="6">
        <v>0.94</v>
      </c>
      <c r="R64" s="5" t="s">
        <v>25</v>
      </c>
      <c r="S64" s="5" t="s">
        <v>25</v>
      </c>
      <c r="T64" s="5">
        <v>3</v>
      </c>
      <c r="U64" s="9"/>
      <c r="V64" s="14"/>
      <c r="W64" s="14"/>
    </row>
    <row r="65" spans="1:23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ht="12.75" customHeight="1" x14ac:dyDescent="0.4">
      <c r="A67" s="28" t="s">
        <v>56</v>
      </c>
      <c r="B67" s="28"/>
      <c r="C67" s="28"/>
      <c r="D67" s="28"/>
      <c r="E67" s="28"/>
      <c r="F67" s="28"/>
      <c r="G67" s="28"/>
      <c r="H67" s="28"/>
      <c r="I67" s="28"/>
      <c r="J67" s="28"/>
      <c r="K67" s="13"/>
      <c r="L67" s="13"/>
      <c r="M67" s="13"/>
      <c r="N67" s="13"/>
      <c r="O67" s="13"/>
      <c r="P67" s="13"/>
      <c r="Q67" s="13"/>
      <c r="R67" s="13"/>
      <c r="S67" s="14"/>
      <c r="T67" s="14"/>
      <c r="U67" s="14"/>
      <c r="V67" s="14"/>
      <c r="W67" s="14"/>
    </row>
    <row r="68" spans="1:23" ht="18.75" customHeight="1" x14ac:dyDescent="0.4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13"/>
      <c r="L68" s="13"/>
      <c r="M68" s="13"/>
      <c r="N68" s="13"/>
      <c r="O68" s="13"/>
      <c r="P68" s="13"/>
      <c r="Q68" s="13"/>
      <c r="R68" s="13"/>
      <c r="S68" s="14"/>
      <c r="T68" s="14"/>
      <c r="U68" s="14"/>
      <c r="V68" s="14"/>
      <c r="W68" s="14"/>
    </row>
    <row r="69" spans="1:23" ht="18.75" customHeight="1" x14ac:dyDescent="0.25">
      <c r="A69" s="14"/>
      <c r="B69" s="24"/>
      <c r="C69" s="24"/>
      <c r="D69" s="2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spans="1:23" x14ac:dyDescent="0.25">
      <c r="A70" s="14"/>
      <c r="B70" s="14"/>
      <c r="C70" s="14"/>
      <c r="D70" s="17" t="s">
        <v>57</v>
      </c>
      <c r="E70" s="17" t="s">
        <v>58</v>
      </c>
      <c r="F70" s="17" t="s">
        <v>59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spans="1:23" x14ac:dyDescent="0.25">
      <c r="A71" s="14"/>
      <c r="B71" s="14"/>
      <c r="C71" s="14"/>
      <c r="D71" s="17" t="s">
        <v>60</v>
      </c>
      <c r="E71" s="17" t="s">
        <v>61</v>
      </c>
      <c r="F71" s="18" t="s">
        <v>62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spans="1:23" x14ac:dyDescent="0.25">
      <c r="A72" s="14"/>
      <c r="B72" s="14"/>
      <c r="C72" s="14"/>
      <c r="D72" s="17" t="s">
        <v>63</v>
      </c>
      <c r="E72" s="17" t="s">
        <v>64</v>
      </c>
      <c r="F72" s="18" t="s">
        <v>65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spans="1:23" x14ac:dyDescent="0.25">
      <c r="A73" s="14"/>
      <c r="B73" s="14"/>
      <c r="C73" s="14"/>
      <c r="D73" s="17" t="s">
        <v>66</v>
      </c>
      <c r="E73" s="18" t="s">
        <v>67</v>
      </c>
      <c r="F73" s="18" t="s">
        <v>68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spans="1:23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spans="1:23" x14ac:dyDescent="0.25">
      <c r="A75" s="14"/>
      <c r="B75" s="14"/>
      <c r="C75" s="14"/>
      <c r="D75" s="16" t="s">
        <v>69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spans="1:23" x14ac:dyDescent="0.25">
      <c r="A76" s="14"/>
      <c r="B76" s="14"/>
      <c r="C76" s="14"/>
      <c r="D76" s="16" t="s">
        <v>70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spans="1:23" x14ac:dyDescent="0.25">
      <c r="A77" s="14"/>
      <c r="B77" s="14"/>
      <c r="C77" s="14"/>
      <c r="D77" s="16" t="s">
        <v>71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spans="1:23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spans="1:23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</sheetData>
  <mergeCells count="3">
    <mergeCell ref="A1:I2"/>
    <mergeCell ref="A16:I17"/>
    <mergeCell ref="A67:J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C0359-C546-41F0-9115-6E09D2A580CB}">
  <dimension ref="A1:T48"/>
  <sheetViews>
    <sheetView workbookViewId="0">
      <selection activeCell="P21" sqref="P21"/>
    </sheetView>
  </sheetViews>
  <sheetFormatPr defaultColWidth="19.85546875" defaultRowHeight="15" x14ac:dyDescent="0.25"/>
  <cols>
    <col min="1" max="2" width="26.85546875" style="11" customWidth="1"/>
    <col min="3" max="16384" width="19.85546875" style="11"/>
  </cols>
  <sheetData>
    <row r="1" spans="1:18" ht="15" customHeight="1" x14ac:dyDescent="0.4">
      <c r="A1" s="28" t="s">
        <v>72</v>
      </c>
      <c r="B1" s="28"/>
      <c r="C1" s="28"/>
      <c r="D1" s="28"/>
      <c r="E1" s="28"/>
      <c r="F1" s="28"/>
      <c r="G1" s="28"/>
      <c r="H1" s="28"/>
      <c r="I1" s="28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4">
      <c r="A2" s="28"/>
      <c r="B2" s="28"/>
      <c r="C2" s="28"/>
      <c r="D2" s="28"/>
      <c r="E2" s="28"/>
      <c r="F2" s="28"/>
      <c r="G2" s="28"/>
      <c r="H2" s="28"/>
      <c r="I2" s="28"/>
      <c r="J2" s="1"/>
      <c r="K2" s="1"/>
      <c r="L2" s="1"/>
      <c r="M2" s="1"/>
      <c r="N2" s="1"/>
      <c r="O2" s="1"/>
      <c r="P2" s="1"/>
      <c r="Q2" s="1"/>
      <c r="R2" s="1"/>
    </row>
    <row r="4" spans="1:18" x14ac:dyDescent="0.25">
      <c r="A4" s="14" t="s">
        <v>73</v>
      </c>
    </row>
    <row r="5" spans="1:18" x14ac:dyDescent="0.25">
      <c r="B5" s="11" t="s">
        <v>74</v>
      </c>
    </row>
    <row r="7" spans="1:18" x14ac:dyDescent="0.25">
      <c r="A7"/>
      <c r="B7" s="4" t="s">
        <v>13</v>
      </c>
      <c r="C7" s="4" t="s">
        <v>14</v>
      </c>
      <c r="D7" s="4" t="s">
        <v>15</v>
      </c>
      <c r="E7" s="4" t="s">
        <v>16</v>
      </c>
      <c r="F7" s="4" t="s">
        <v>17</v>
      </c>
      <c r="G7" s="4" t="s">
        <v>18</v>
      </c>
      <c r="H7" s="4" t="s">
        <v>19</v>
      </c>
      <c r="I7" s="4" t="s">
        <v>20</v>
      </c>
    </row>
    <row r="8" spans="1:18" x14ac:dyDescent="0.25">
      <c r="A8"/>
      <c r="B8" s="5" t="s">
        <v>21</v>
      </c>
      <c r="C8" s="5" t="s">
        <v>22</v>
      </c>
      <c r="D8" s="5" t="s">
        <v>23</v>
      </c>
      <c r="E8" s="5">
        <v>65000</v>
      </c>
      <c r="F8" s="6">
        <v>0.98</v>
      </c>
      <c r="G8" s="5" t="s">
        <v>24</v>
      </c>
      <c r="H8" s="5" t="s">
        <v>25</v>
      </c>
      <c r="I8" s="5">
        <v>4</v>
      </c>
    </row>
    <row r="9" spans="1:18" x14ac:dyDescent="0.25">
      <c r="A9"/>
      <c r="B9" s="5" t="s">
        <v>26</v>
      </c>
      <c r="C9" s="5" t="s">
        <v>27</v>
      </c>
      <c r="D9" s="5" t="s">
        <v>23</v>
      </c>
      <c r="E9" s="5">
        <v>42000</v>
      </c>
      <c r="F9" s="6">
        <v>0.96</v>
      </c>
      <c r="G9" s="5" t="s">
        <v>25</v>
      </c>
      <c r="H9" s="5" t="s">
        <v>24</v>
      </c>
      <c r="I9" s="5">
        <v>2</v>
      </c>
    </row>
    <row r="10" spans="1:18" x14ac:dyDescent="0.25">
      <c r="A10"/>
      <c r="B10" s="5" t="s">
        <v>28</v>
      </c>
      <c r="C10" s="5" t="s">
        <v>29</v>
      </c>
      <c r="D10" s="5" t="s">
        <v>30</v>
      </c>
      <c r="E10" s="5">
        <v>58000</v>
      </c>
      <c r="F10" s="6">
        <v>0.93</v>
      </c>
      <c r="G10" s="5" t="s">
        <v>24</v>
      </c>
      <c r="H10" s="5" t="s">
        <v>25</v>
      </c>
      <c r="I10" s="5">
        <v>5</v>
      </c>
    </row>
    <row r="11" spans="1:18" x14ac:dyDescent="0.25">
      <c r="A11"/>
      <c r="B11" s="5" t="s">
        <v>31</v>
      </c>
      <c r="C11" s="5" t="s">
        <v>32</v>
      </c>
      <c r="D11" s="5" t="s">
        <v>33</v>
      </c>
      <c r="E11" s="5">
        <v>39000</v>
      </c>
      <c r="F11" s="6">
        <v>0.97</v>
      </c>
      <c r="G11" s="5" t="s">
        <v>24</v>
      </c>
      <c r="H11" s="5" t="s">
        <v>24</v>
      </c>
      <c r="I11" s="5">
        <v>3</v>
      </c>
    </row>
    <row r="12" spans="1:18" x14ac:dyDescent="0.25">
      <c r="A12"/>
      <c r="B12" s="5" t="s">
        <v>34</v>
      </c>
      <c r="C12" s="5" t="s">
        <v>35</v>
      </c>
      <c r="D12" s="5" t="s">
        <v>23</v>
      </c>
      <c r="E12" s="5">
        <v>72000</v>
      </c>
      <c r="F12" s="6">
        <v>0.99</v>
      </c>
      <c r="G12" s="5" t="s">
        <v>24</v>
      </c>
      <c r="H12" s="5" t="s">
        <v>25</v>
      </c>
      <c r="I12" s="5">
        <v>6</v>
      </c>
    </row>
    <row r="13" spans="1:18" x14ac:dyDescent="0.25">
      <c r="A13"/>
      <c r="B13" s="5" t="s">
        <v>36</v>
      </c>
      <c r="C13" s="5" t="s">
        <v>37</v>
      </c>
      <c r="D13" s="5" t="s">
        <v>30</v>
      </c>
      <c r="E13" s="5">
        <v>47000</v>
      </c>
      <c r="F13" s="6">
        <v>0.91</v>
      </c>
      <c r="G13" s="5" t="s">
        <v>25</v>
      </c>
      <c r="H13" s="5" t="s">
        <v>24</v>
      </c>
      <c r="I13" s="5">
        <v>2</v>
      </c>
    </row>
    <row r="14" spans="1:18" x14ac:dyDescent="0.25">
      <c r="A14"/>
      <c r="B14" s="5" t="s">
        <v>38</v>
      </c>
      <c r="C14" s="5" t="s">
        <v>39</v>
      </c>
      <c r="D14" s="5" t="s">
        <v>40</v>
      </c>
      <c r="E14" s="5">
        <v>81000</v>
      </c>
      <c r="F14" s="6">
        <v>0.95</v>
      </c>
      <c r="G14" s="5" t="s">
        <v>24</v>
      </c>
      <c r="H14" s="5" t="s">
        <v>25</v>
      </c>
      <c r="I14" s="5">
        <v>7</v>
      </c>
    </row>
    <row r="15" spans="1:18" x14ac:dyDescent="0.25">
      <c r="A15"/>
      <c r="B15" s="5" t="s">
        <v>41</v>
      </c>
      <c r="C15" s="5" t="s">
        <v>42</v>
      </c>
      <c r="D15" s="5" t="s">
        <v>33</v>
      </c>
      <c r="E15" s="5">
        <v>36000</v>
      </c>
      <c r="F15" s="6">
        <v>0.89</v>
      </c>
      <c r="G15" s="5" t="s">
        <v>25</v>
      </c>
      <c r="H15" s="5" t="s">
        <v>24</v>
      </c>
      <c r="I15" s="5">
        <v>1</v>
      </c>
    </row>
    <row r="16" spans="1:18" x14ac:dyDescent="0.25">
      <c r="A16"/>
      <c r="B16" s="5" t="s">
        <v>43</v>
      </c>
      <c r="C16" s="5" t="s">
        <v>44</v>
      </c>
      <c r="D16" s="5" t="s">
        <v>23</v>
      </c>
      <c r="E16" s="5">
        <v>55000</v>
      </c>
      <c r="F16" s="6">
        <v>0.96</v>
      </c>
      <c r="G16" s="5" t="s">
        <v>24</v>
      </c>
      <c r="H16" s="5" t="s">
        <v>25</v>
      </c>
      <c r="I16" s="5">
        <v>4</v>
      </c>
    </row>
    <row r="17" spans="1:20" x14ac:dyDescent="0.25">
      <c r="A17"/>
      <c r="B17" s="5" t="s">
        <v>45</v>
      </c>
      <c r="C17" s="5" t="s">
        <v>46</v>
      </c>
      <c r="D17" s="5" t="s">
        <v>30</v>
      </c>
      <c r="E17" s="5">
        <v>48000</v>
      </c>
      <c r="F17" s="6">
        <v>0.94</v>
      </c>
      <c r="G17" s="5" t="s">
        <v>25</v>
      </c>
      <c r="H17" s="5" t="s">
        <v>25</v>
      </c>
      <c r="I17" s="5">
        <v>3</v>
      </c>
    </row>
    <row r="20" spans="1:20" x14ac:dyDescent="0.25">
      <c r="A20" s="3" t="s">
        <v>75</v>
      </c>
    </row>
    <row r="21" spans="1:20" x14ac:dyDescent="0.25">
      <c r="A21" t="s">
        <v>76</v>
      </c>
      <c r="B21" s="7" t="s">
        <v>77</v>
      </c>
      <c r="N21" s="3" t="s">
        <v>78</v>
      </c>
      <c r="O21" t="s">
        <v>98</v>
      </c>
      <c r="P21" t="s">
        <v>99</v>
      </c>
    </row>
    <row r="23" spans="1:20" x14ac:dyDescent="0.25">
      <c r="B23" s="4" t="s">
        <v>13</v>
      </c>
      <c r="C23" s="4" t="s">
        <v>14</v>
      </c>
      <c r="D23" s="4" t="s">
        <v>15</v>
      </c>
      <c r="E23" s="4" t="s">
        <v>16</v>
      </c>
      <c r="F23" s="4" t="s">
        <v>17</v>
      </c>
      <c r="G23" s="4" t="s">
        <v>18</v>
      </c>
      <c r="H23" s="4" t="s">
        <v>19</v>
      </c>
      <c r="I23" s="4" t="s">
        <v>20</v>
      </c>
      <c r="J23" s="8" t="s">
        <v>55</v>
      </c>
      <c r="L23" s="4" t="s">
        <v>13</v>
      </c>
      <c r="M23" s="4" t="s">
        <v>14</v>
      </c>
      <c r="N23" s="4" t="s">
        <v>15</v>
      </c>
      <c r="O23" s="4" t="s">
        <v>16</v>
      </c>
      <c r="P23" s="4" t="s">
        <v>17</v>
      </c>
      <c r="Q23" s="4" t="s">
        <v>18</v>
      </c>
      <c r="R23" s="4" t="s">
        <v>19</v>
      </c>
      <c r="S23" s="4" t="s">
        <v>20</v>
      </c>
      <c r="T23" s="8" t="s">
        <v>55</v>
      </c>
    </row>
    <row r="24" spans="1:20" x14ac:dyDescent="0.25">
      <c r="B24" s="5" t="s">
        <v>21</v>
      </c>
      <c r="C24" s="5" t="s">
        <v>22</v>
      </c>
      <c r="D24" s="5" t="s">
        <v>23</v>
      </c>
      <c r="E24" s="5">
        <v>65000</v>
      </c>
      <c r="F24" s="6">
        <v>0.98</v>
      </c>
      <c r="G24" s="5" t="s">
        <v>24</v>
      </c>
      <c r="H24" s="5" t="s">
        <v>25</v>
      </c>
      <c r="I24" s="5">
        <v>4</v>
      </c>
      <c r="J24" s="9"/>
      <c r="L24" s="5" t="s">
        <v>21</v>
      </c>
      <c r="M24" s="5" t="s">
        <v>22</v>
      </c>
      <c r="N24" s="5" t="s">
        <v>23</v>
      </c>
      <c r="O24" s="5">
        <v>65000</v>
      </c>
      <c r="P24" s="6">
        <v>0.98</v>
      </c>
      <c r="Q24" s="5" t="s">
        <v>24</v>
      </c>
      <c r="R24" s="5" t="s">
        <v>25</v>
      </c>
      <c r="S24" s="5">
        <v>4</v>
      </c>
      <c r="T24" s="9"/>
    </row>
    <row r="25" spans="1:20" x14ac:dyDescent="0.25">
      <c r="B25" s="5" t="s">
        <v>26</v>
      </c>
      <c r="C25" s="5" t="s">
        <v>27</v>
      </c>
      <c r="D25" s="5" t="s">
        <v>23</v>
      </c>
      <c r="E25" s="5">
        <v>42000</v>
      </c>
      <c r="F25" s="6">
        <v>0.96</v>
      </c>
      <c r="G25" s="5" t="s">
        <v>25</v>
      </c>
      <c r="H25" s="5" t="s">
        <v>24</v>
      </c>
      <c r="I25" s="5">
        <v>2</v>
      </c>
      <c r="J25" s="9"/>
      <c r="L25" s="5" t="s">
        <v>26</v>
      </c>
      <c r="M25" s="5" t="s">
        <v>27</v>
      </c>
      <c r="N25" s="5" t="s">
        <v>23</v>
      </c>
      <c r="O25" s="5">
        <v>42000</v>
      </c>
      <c r="P25" s="6">
        <v>0.96</v>
      </c>
      <c r="Q25" s="5" t="s">
        <v>25</v>
      </c>
      <c r="R25" s="5" t="s">
        <v>24</v>
      </c>
      <c r="S25" s="5">
        <v>2</v>
      </c>
      <c r="T25" s="9"/>
    </row>
    <row r="26" spans="1:20" x14ac:dyDescent="0.25">
      <c r="B26" s="5" t="s">
        <v>28</v>
      </c>
      <c r="C26" s="5" t="s">
        <v>29</v>
      </c>
      <c r="D26" s="5" t="s">
        <v>30</v>
      </c>
      <c r="E26" s="5">
        <v>58000</v>
      </c>
      <c r="F26" s="6">
        <v>0.93</v>
      </c>
      <c r="G26" s="5" t="s">
        <v>24</v>
      </c>
      <c r="H26" s="5" t="s">
        <v>25</v>
      </c>
      <c r="I26" s="5">
        <v>5</v>
      </c>
      <c r="J26" s="9"/>
      <c r="L26" s="5" t="s">
        <v>28</v>
      </c>
      <c r="M26" s="5" t="s">
        <v>29</v>
      </c>
      <c r="N26" s="5" t="s">
        <v>30</v>
      </c>
      <c r="O26" s="5">
        <v>58000</v>
      </c>
      <c r="P26" s="6">
        <v>0.93</v>
      </c>
      <c r="Q26" s="5" t="s">
        <v>24</v>
      </c>
      <c r="R26" s="5" t="s">
        <v>25</v>
      </c>
      <c r="S26" s="5">
        <v>5</v>
      </c>
      <c r="T26" s="9"/>
    </row>
    <row r="27" spans="1:20" x14ac:dyDescent="0.25">
      <c r="B27" s="5" t="s">
        <v>31</v>
      </c>
      <c r="C27" s="5" t="s">
        <v>32</v>
      </c>
      <c r="D27" s="5" t="s">
        <v>33</v>
      </c>
      <c r="E27" s="5">
        <v>39000</v>
      </c>
      <c r="F27" s="6">
        <v>0.97</v>
      </c>
      <c r="G27" s="5" t="s">
        <v>24</v>
      </c>
      <c r="H27" s="5" t="s">
        <v>24</v>
      </c>
      <c r="I27" s="5">
        <v>3</v>
      </c>
      <c r="J27" s="9"/>
      <c r="L27" s="5" t="s">
        <v>31</v>
      </c>
      <c r="M27" s="5" t="s">
        <v>32</v>
      </c>
      <c r="N27" s="5" t="s">
        <v>33</v>
      </c>
      <c r="O27" s="5">
        <v>39000</v>
      </c>
      <c r="P27" s="6">
        <v>0.97</v>
      </c>
      <c r="Q27" s="5" t="s">
        <v>24</v>
      </c>
      <c r="R27" s="5" t="s">
        <v>24</v>
      </c>
      <c r="S27" s="5">
        <v>3</v>
      </c>
      <c r="T27" s="9"/>
    </row>
    <row r="28" spans="1:20" x14ac:dyDescent="0.25">
      <c r="B28" s="5" t="s">
        <v>34</v>
      </c>
      <c r="C28" s="5" t="s">
        <v>35</v>
      </c>
      <c r="D28" s="5" t="s">
        <v>23</v>
      </c>
      <c r="E28" s="5">
        <v>72000</v>
      </c>
      <c r="F28" s="6">
        <v>0.99</v>
      </c>
      <c r="G28" s="5" t="s">
        <v>24</v>
      </c>
      <c r="H28" s="5" t="s">
        <v>25</v>
      </c>
      <c r="I28" s="5">
        <v>6</v>
      </c>
      <c r="J28" s="9"/>
      <c r="L28" s="5" t="s">
        <v>34</v>
      </c>
      <c r="M28" s="5" t="s">
        <v>35</v>
      </c>
      <c r="N28" s="5" t="s">
        <v>23</v>
      </c>
      <c r="O28" s="5">
        <v>72000</v>
      </c>
      <c r="P28" s="6">
        <v>0.99</v>
      </c>
      <c r="Q28" s="5" t="s">
        <v>24</v>
      </c>
      <c r="R28" s="5" t="s">
        <v>25</v>
      </c>
      <c r="S28" s="5">
        <v>6</v>
      </c>
      <c r="T28" s="9"/>
    </row>
    <row r="29" spans="1:20" x14ac:dyDescent="0.25">
      <c r="B29" s="5" t="s">
        <v>36</v>
      </c>
      <c r="C29" s="5" t="s">
        <v>37</v>
      </c>
      <c r="D29" s="5" t="s">
        <v>30</v>
      </c>
      <c r="E29" s="5">
        <v>47000</v>
      </c>
      <c r="F29" s="6">
        <v>0.91</v>
      </c>
      <c r="G29" s="5" t="s">
        <v>25</v>
      </c>
      <c r="H29" s="5" t="s">
        <v>24</v>
      </c>
      <c r="I29" s="5">
        <v>2</v>
      </c>
      <c r="J29" s="9"/>
      <c r="L29" s="5" t="s">
        <v>36</v>
      </c>
      <c r="M29" s="5" t="s">
        <v>37</v>
      </c>
      <c r="N29" s="5" t="s">
        <v>30</v>
      </c>
      <c r="O29" s="5">
        <v>47000</v>
      </c>
      <c r="P29" s="6">
        <v>0.91</v>
      </c>
      <c r="Q29" s="5" t="s">
        <v>25</v>
      </c>
      <c r="R29" s="5" t="s">
        <v>24</v>
      </c>
      <c r="S29" s="5">
        <v>2</v>
      </c>
      <c r="T29" s="9"/>
    </row>
    <row r="30" spans="1:20" x14ac:dyDescent="0.25">
      <c r="B30" s="5" t="s">
        <v>38</v>
      </c>
      <c r="C30" s="5" t="s">
        <v>39</v>
      </c>
      <c r="D30" s="5" t="s">
        <v>40</v>
      </c>
      <c r="E30" s="5">
        <v>81000</v>
      </c>
      <c r="F30" s="6">
        <v>0.95</v>
      </c>
      <c r="G30" s="5" t="s">
        <v>24</v>
      </c>
      <c r="H30" s="5" t="s">
        <v>25</v>
      </c>
      <c r="I30" s="5">
        <v>7</v>
      </c>
      <c r="J30" s="9"/>
      <c r="L30" s="5" t="s">
        <v>38</v>
      </c>
      <c r="M30" s="5" t="s">
        <v>39</v>
      </c>
      <c r="N30" s="5" t="s">
        <v>40</v>
      </c>
      <c r="O30" s="5">
        <v>81000</v>
      </c>
      <c r="P30" s="6">
        <v>0.95</v>
      </c>
      <c r="Q30" s="5" t="s">
        <v>24</v>
      </c>
      <c r="R30" s="5" t="s">
        <v>25</v>
      </c>
      <c r="S30" s="5">
        <v>7</v>
      </c>
      <c r="T30" s="9"/>
    </row>
    <row r="31" spans="1:20" x14ac:dyDescent="0.25">
      <c r="B31" s="5" t="s">
        <v>41</v>
      </c>
      <c r="C31" s="5" t="s">
        <v>42</v>
      </c>
      <c r="D31" s="5" t="s">
        <v>33</v>
      </c>
      <c r="E31" s="5">
        <v>36000</v>
      </c>
      <c r="F31" s="6">
        <v>0.89</v>
      </c>
      <c r="G31" s="5" t="s">
        <v>25</v>
      </c>
      <c r="H31" s="5" t="s">
        <v>24</v>
      </c>
      <c r="I31" s="5">
        <v>1</v>
      </c>
      <c r="J31" s="9"/>
      <c r="L31" s="5" t="s">
        <v>41</v>
      </c>
      <c r="M31" s="5" t="s">
        <v>42</v>
      </c>
      <c r="N31" s="5" t="s">
        <v>33</v>
      </c>
      <c r="O31" s="5">
        <v>36000</v>
      </c>
      <c r="P31" s="6">
        <v>0.89</v>
      </c>
      <c r="Q31" s="5" t="s">
        <v>25</v>
      </c>
      <c r="R31" s="5" t="s">
        <v>24</v>
      </c>
      <c r="S31" s="5">
        <v>1</v>
      </c>
      <c r="T31" s="9"/>
    </row>
    <row r="32" spans="1:20" x14ac:dyDescent="0.25">
      <c r="B32" s="5" t="s">
        <v>43</v>
      </c>
      <c r="C32" s="5" t="s">
        <v>44</v>
      </c>
      <c r="D32" s="5" t="s">
        <v>23</v>
      </c>
      <c r="E32" s="5">
        <v>55000</v>
      </c>
      <c r="F32" s="6">
        <v>0.96</v>
      </c>
      <c r="G32" s="5" t="s">
        <v>24</v>
      </c>
      <c r="H32" s="5" t="s">
        <v>25</v>
      </c>
      <c r="I32" s="5">
        <v>4</v>
      </c>
      <c r="J32" s="9"/>
      <c r="L32" s="5" t="s">
        <v>43</v>
      </c>
      <c r="M32" s="5" t="s">
        <v>44</v>
      </c>
      <c r="N32" s="5" t="s">
        <v>23</v>
      </c>
      <c r="O32" s="5">
        <v>55000</v>
      </c>
      <c r="P32" s="6">
        <v>0.96</v>
      </c>
      <c r="Q32" s="5" t="s">
        <v>24</v>
      </c>
      <c r="R32" s="5" t="s">
        <v>25</v>
      </c>
      <c r="S32" s="5">
        <v>4</v>
      </c>
      <c r="T32" s="9"/>
    </row>
    <row r="33" spans="1:20" x14ac:dyDescent="0.25">
      <c r="B33" s="5" t="s">
        <v>45</v>
      </c>
      <c r="C33" s="5" t="s">
        <v>46</v>
      </c>
      <c r="D33" s="5" t="s">
        <v>30</v>
      </c>
      <c r="E33" s="5">
        <v>48000</v>
      </c>
      <c r="F33" s="6">
        <v>0.94</v>
      </c>
      <c r="G33" s="5" t="s">
        <v>25</v>
      </c>
      <c r="H33" s="5" t="s">
        <v>25</v>
      </c>
      <c r="I33" s="5">
        <v>3</v>
      </c>
      <c r="J33" s="9"/>
      <c r="L33" s="5" t="s">
        <v>45</v>
      </c>
      <c r="M33" s="5" t="s">
        <v>46</v>
      </c>
      <c r="N33" s="5" t="s">
        <v>30</v>
      </c>
      <c r="O33" s="5">
        <v>48000</v>
      </c>
      <c r="P33" s="6">
        <v>0.94</v>
      </c>
      <c r="Q33" s="5" t="s">
        <v>25</v>
      </c>
      <c r="R33" s="5" t="s">
        <v>25</v>
      </c>
      <c r="S33" s="5">
        <v>3</v>
      </c>
      <c r="T33" s="9"/>
    </row>
    <row r="35" spans="1:20" x14ac:dyDescent="0.25">
      <c r="A35" s="3" t="s">
        <v>79</v>
      </c>
    </row>
    <row r="36" spans="1:20" x14ac:dyDescent="0.25">
      <c r="A36" s="11" t="s">
        <v>80</v>
      </c>
      <c r="B36" s="12" t="s">
        <v>81</v>
      </c>
      <c r="N36" s="3" t="s">
        <v>96</v>
      </c>
      <c r="P36" s="29" t="s">
        <v>97</v>
      </c>
    </row>
    <row r="38" spans="1:20" x14ac:dyDescent="0.25">
      <c r="B38" s="4" t="s">
        <v>13</v>
      </c>
      <c r="C38" s="4" t="s">
        <v>14</v>
      </c>
      <c r="D38" s="4" t="s">
        <v>15</v>
      </c>
      <c r="E38" s="4" t="s">
        <v>16</v>
      </c>
      <c r="F38" s="4" t="s">
        <v>17</v>
      </c>
      <c r="G38" s="4" t="s">
        <v>18</v>
      </c>
      <c r="H38" s="4" t="s">
        <v>19</v>
      </c>
      <c r="I38" s="4" t="s">
        <v>20</v>
      </c>
      <c r="J38" s="26" t="s">
        <v>82</v>
      </c>
      <c r="L38" s="4" t="s">
        <v>13</v>
      </c>
      <c r="M38" s="4" t="s">
        <v>14</v>
      </c>
      <c r="N38" s="4" t="s">
        <v>15</v>
      </c>
      <c r="O38" s="4" t="s">
        <v>16</v>
      </c>
      <c r="P38" s="4" t="s">
        <v>17</v>
      </c>
      <c r="Q38" s="4" t="s">
        <v>18</v>
      </c>
      <c r="R38" s="4" t="s">
        <v>19</v>
      </c>
      <c r="S38" s="4" t="s">
        <v>20</v>
      </c>
      <c r="T38" s="26" t="s">
        <v>82</v>
      </c>
    </row>
    <row r="39" spans="1:20" x14ac:dyDescent="0.25">
      <c r="B39" s="5" t="s">
        <v>21</v>
      </c>
      <c r="C39" s="5" t="s">
        <v>22</v>
      </c>
      <c r="D39" s="5" t="s">
        <v>23</v>
      </c>
      <c r="E39" s="5">
        <v>65000</v>
      </c>
      <c r="F39" s="6">
        <v>0.98</v>
      </c>
      <c r="G39" s="5" t="s">
        <v>24</v>
      </c>
      <c r="H39" s="5" t="s">
        <v>25</v>
      </c>
      <c r="I39" s="5">
        <v>4</v>
      </c>
      <c r="J39" s="9"/>
      <c r="L39" s="5" t="s">
        <v>21</v>
      </c>
      <c r="M39" s="5" t="s">
        <v>22</v>
      </c>
      <c r="N39" s="5" t="s">
        <v>23</v>
      </c>
      <c r="O39" s="5">
        <v>65000</v>
      </c>
      <c r="P39" s="6">
        <v>0.98</v>
      </c>
      <c r="Q39" s="5" t="s">
        <v>24</v>
      </c>
      <c r="R39" s="5" t="s">
        <v>25</v>
      </c>
      <c r="S39" s="5">
        <v>4</v>
      </c>
      <c r="T39" s="9"/>
    </row>
    <row r="40" spans="1:20" x14ac:dyDescent="0.25">
      <c r="B40" s="5" t="s">
        <v>26</v>
      </c>
      <c r="C40" s="5" t="s">
        <v>27</v>
      </c>
      <c r="D40" s="5" t="s">
        <v>23</v>
      </c>
      <c r="E40" s="5">
        <v>42000</v>
      </c>
      <c r="F40" s="6">
        <v>0.96</v>
      </c>
      <c r="G40" s="5" t="s">
        <v>25</v>
      </c>
      <c r="H40" s="5" t="s">
        <v>24</v>
      </c>
      <c r="I40" s="5">
        <v>2</v>
      </c>
      <c r="J40" s="9"/>
      <c r="L40" s="5" t="s">
        <v>26</v>
      </c>
      <c r="M40" s="5" t="s">
        <v>27</v>
      </c>
      <c r="N40" s="5" t="s">
        <v>23</v>
      </c>
      <c r="O40" s="5">
        <v>42000</v>
      </c>
      <c r="P40" s="6">
        <v>0.96</v>
      </c>
      <c r="Q40" s="5" t="s">
        <v>25</v>
      </c>
      <c r="R40" s="5" t="s">
        <v>24</v>
      </c>
      <c r="S40" s="5">
        <v>2</v>
      </c>
      <c r="T40" s="9"/>
    </row>
    <row r="41" spans="1:20" x14ac:dyDescent="0.25">
      <c r="B41" s="5" t="s">
        <v>28</v>
      </c>
      <c r="C41" s="5" t="s">
        <v>29</v>
      </c>
      <c r="D41" s="5" t="s">
        <v>30</v>
      </c>
      <c r="E41" s="5">
        <v>58000</v>
      </c>
      <c r="F41" s="6">
        <v>0.93</v>
      </c>
      <c r="G41" s="5" t="s">
        <v>24</v>
      </c>
      <c r="H41" s="5" t="s">
        <v>25</v>
      </c>
      <c r="I41" s="5">
        <v>5</v>
      </c>
      <c r="J41" s="9"/>
      <c r="L41" s="5" t="s">
        <v>28</v>
      </c>
      <c r="M41" s="5" t="s">
        <v>29</v>
      </c>
      <c r="N41" s="5" t="s">
        <v>30</v>
      </c>
      <c r="O41" s="5">
        <v>58000</v>
      </c>
      <c r="P41" s="6">
        <v>0.93</v>
      </c>
      <c r="Q41" s="5" t="s">
        <v>24</v>
      </c>
      <c r="R41" s="5" t="s">
        <v>25</v>
      </c>
      <c r="S41" s="5">
        <v>5</v>
      </c>
      <c r="T41" s="9"/>
    </row>
    <row r="42" spans="1:20" x14ac:dyDescent="0.25">
      <c r="B42" s="5" t="s">
        <v>31</v>
      </c>
      <c r="C42" s="5" t="s">
        <v>32</v>
      </c>
      <c r="D42" s="5" t="s">
        <v>33</v>
      </c>
      <c r="E42" s="5">
        <v>39000</v>
      </c>
      <c r="F42" s="6">
        <v>0.97</v>
      </c>
      <c r="G42" s="5" t="s">
        <v>24</v>
      </c>
      <c r="H42" s="5" t="s">
        <v>24</v>
      </c>
      <c r="I42" s="5">
        <v>3</v>
      </c>
      <c r="J42" s="9"/>
      <c r="L42" s="5" t="s">
        <v>31</v>
      </c>
      <c r="M42" s="5" t="s">
        <v>32</v>
      </c>
      <c r="N42" s="5" t="s">
        <v>33</v>
      </c>
      <c r="O42" s="5">
        <v>39000</v>
      </c>
      <c r="P42" s="6">
        <v>0.97</v>
      </c>
      <c r="Q42" s="5" t="s">
        <v>24</v>
      </c>
      <c r="R42" s="5" t="s">
        <v>24</v>
      </c>
      <c r="S42" s="5">
        <v>3</v>
      </c>
      <c r="T42" s="9"/>
    </row>
    <row r="43" spans="1:20" x14ac:dyDescent="0.25">
      <c r="B43" s="5" t="s">
        <v>34</v>
      </c>
      <c r="C43" s="5" t="s">
        <v>35</v>
      </c>
      <c r="D43" s="5" t="s">
        <v>23</v>
      </c>
      <c r="E43" s="5">
        <v>72000</v>
      </c>
      <c r="F43" s="6">
        <v>0.99</v>
      </c>
      <c r="G43" s="5" t="s">
        <v>24</v>
      </c>
      <c r="H43" s="5" t="s">
        <v>25</v>
      </c>
      <c r="I43" s="5">
        <v>6</v>
      </c>
      <c r="J43" s="9"/>
      <c r="L43" s="5" t="s">
        <v>34</v>
      </c>
      <c r="M43" s="5" t="s">
        <v>35</v>
      </c>
      <c r="N43" s="5" t="s">
        <v>23</v>
      </c>
      <c r="O43" s="5">
        <v>72000</v>
      </c>
      <c r="P43" s="6">
        <v>0.99</v>
      </c>
      <c r="Q43" s="5" t="s">
        <v>24</v>
      </c>
      <c r="R43" s="5" t="s">
        <v>25</v>
      </c>
      <c r="S43" s="5">
        <v>6</v>
      </c>
      <c r="T43" s="9"/>
    </row>
    <row r="44" spans="1:20" x14ac:dyDescent="0.25">
      <c r="B44" s="5" t="s">
        <v>36</v>
      </c>
      <c r="C44" s="5" t="s">
        <v>37</v>
      </c>
      <c r="D44" s="5" t="s">
        <v>30</v>
      </c>
      <c r="E44" s="5">
        <v>47000</v>
      </c>
      <c r="F44" s="6">
        <v>0.91</v>
      </c>
      <c r="G44" s="5" t="s">
        <v>25</v>
      </c>
      <c r="H44" s="5" t="s">
        <v>24</v>
      </c>
      <c r="I44" s="5">
        <v>2</v>
      </c>
      <c r="J44" s="9"/>
      <c r="L44" s="5" t="s">
        <v>36</v>
      </c>
      <c r="M44" s="5" t="s">
        <v>37</v>
      </c>
      <c r="N44" s="5" t="s">
        <v>30</v>
      </c>
      <c r="O44" s="5">
        <v>47000</v>
      </c>
      <c r="P44" s="6">
        <v>0.91</v>
      </c>
      <c r="Q44" s="5" t="s">
        <v>25</v>
      </c>
      <c r="R44" s="5" t="s">
        <v>24</v>
      </c>
      <c r="S44" s="5">
        <v>2</v>
      </c>
      <c r="T44" s="9"/>
    </row>
    <row r="45" spans="1:20" x14ac:dyDescent="0.25">
      <c r="B45" s="5" t="s">
        <v>38</v>
      </c>
      <c r="C45" s="5" t="s">
        <v>39</v>
      </c>
      <c r="D45" s="5" t="s">
        <v>40</v>
      </c>
      <c r="E45" s="5">
        <v>81000</v>
      </c>
      <c r="F45" s="6">
        <v>0.95</v>
      </c>
      <c r="G45" s="5" t="s">
        <v>24</v>
      </c>
      <c r="H45" s="5" t="s">
        <v>25</v>
      </c>
      <c r="I45" s="5">
        <v>7</v>
      </c>
      <c r="J45" s="9"/>
      <c r="L45" s="5" t="s">
        <v>38</v>
      </c>
      <c r="M45" s="5" t="s">
        <v>39</v>
      </c>
      <c r="N45" s="5" t="s">
        <v>40</v>
      </c>
      <c r="O45" s="5">
        <v>81000</v>
      </c>
      <c r="P45" s="6">
        <v>0.95</v>
      </c>
      <c r="Q45" s="5" t="s">
        <v>24</v>
      </c>
      <c r="R45" s="5" t="s">
        <v>25</v>
      </c>
      <c r="S45" s="5">
        <v>7</v>
      </c>
      <c r="T45" s="9"/>
    </row>
    <row r="46" spans="1:20" x14ac:dyDescent="0.25">
      <c r="B46" s="5" t="s">
        <v>41</v>
      </c>
      <c r="C46" s="5" t="s">
        <v>42</v>
      </c>
      <c r="D46" s="5" t="s">
        <v>33</v>
      </c>
      <c r="E46" s="5">
        <v>36000</v>
      </c>
      <c r="F46" s="6">
        <v>0.89</v>
      </c>
      <c r="G46" s="5" t="s">
        <v>25</v>
      </c>
      <c r="H46" s="5" t="s">
        <v>24</v>
      </c>
      <c r="I46" s="5">
        <v>1</v>
      </c>
      <c r="J46" s="9"/>
      <c r="L46" s="5" t="s">
        <v>41</v>
      </c>
      <c r="M46" s="5" t="s">
        <v>42</v>
      </c>
      <c r="N46" s="5" t="s">
        <v>33</v>
      </c>
      <c r="O46" s="5">
        <v>36000</v>
      </c>
      <c r="P46" s="6">
        <v>0.89</v>
      </c>
      <c r="Q46" s="5" t="s">
        <v>25</v>
      </c>
      <c r="R46" s="5" t="s">
        <v>24</v>
      </c>
      <c r="S46" s="5">
        <v>1</v>
      </c>
      <c r="T46" s="9"/>
    </row>
    <row r="47" spans="1:20" x14ac:dyDescent="0.25">
      <c r="B47" s="5" t="s">
        <v>43</v>
      </c>
      <c r="C47" s="5" t="s">
        <v>44</v>
      </c>
      <c r="D47" s="5" t="s">
        <v>23</v>
      </c>
      <c r="E47" s="5">
        <v>55000</v>
      </c>
      <c r="F47" s="6">
        <v>0.96</v>
      </c>
      <c r="G47" s="5" t="s">
        <v>24</v>
      </c>
      <c r="H47" s="5" t="s">
        <v>25</v>
      </c>
      <c r="I47" s="5">
        <v>4</v>
      </c>
      <c r="J47" s="9"/>
      <c r="L47" s="5" t="s">
        <v>43</v>
      </c>
      <c r="M47" s="5" t="s">
        <v>44</v>
      </c>
      <c r="N47" s="5" t="s">
        <v>23</v>
      </c>
      <c r="O47" s="5">
        <v>55000</v>
      </c>
      <c r="P47" s="6">
        <v>0.96</v>
      </c>
      <c r="Q47" s="5" t="s">
        <v>24</v>
      </c>
      <c r="R47" s="5" t="s">
        <v>25</v>
      </c>
      <c r="S47" s="5">
        <v>4</v>
      </c>
      <c r="T47" s="9"/>
    </row>
    <row r="48" spans="1:20" x14ac:dyDescent="0.25">
      <c r="B48" s="5" t="s">
        <v>45</v>
      </c>
      <c r="C48" s="5" t="s">
        <v>46</v>
      </c>
      <c r="D48" s="5" t="s">
        <v>30</v>
      </c>
      <c r="E48" s="5">
        <v>48000</v>
      </c>
      <c r="F48" s="6">
        <v>0.94</v>
      </c>
      <c r="G48" s="5" t="s">
        <v>25</v>
      </c>
      <c r="H48" s="5" t="s">
        <v>25</v>
      </c>
      <c r="I48" s="5">
        <v>3</v>
      </c>
      <c r="J48" s="9"/>
      <c r="L48" s="5" t="s">
        <v>45</v>
      </c>
      <c r="M48" s="5" t="s">
        <v>46</v>
      </c>
      <c r="N48" s="5" t="s">
        <v>30</v>
      </c>
      <c r="O48" s="5">
        <v>48000</v>
      </c>
      <c r="P48" s="6">
        <v>0.94</v>
      </c>
      <c r="Q48" s="5" t="s">
        <v>25</v>
      </c>
      <c r="R48" s="5" t="s">
        <v>25</v>
      </c>
      <c r="S48" s="5">
        <v>3</v>
      </c>
      <c r="T48" s="9"/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AE1A7-3B9F-4E7A-AA14-C9B6CE724600}">
  <dimension ref="A1:T53"/>
  <sheetViews>
    <sheetView tabSelected="1" workbookViewId="0">
      <selection activeCell="T31" sqref="T31"/>
    </sheetView>
  </sheetViews>
  <sheetFormatPr defaultColWidth="18.7109375" defaultRowHeight="15" x14ac:dyDescent="0.25"/>
  <cols>
    <col min="10" max="10" width="32.5703125" customWidth="1"/>
    <col min="20" max="20" width="22.140625" customWidth="1"/>
  </cols>
  <sheetData>
    <row r="1" spans="1:18" ht="15" customHeight="1" x14ac:dyDescent="0.4">
      <c r="A1" s="28" t="s">
        <v>83</v>
      </c>
      <c r="B1" s="28"/>
      <c r="C1" s="28"/>
      <c r="D1" s="28"/>
      <c r="E1" s="28"/>
      <c r="F1" s="28"/>
      <c r="G1" s="28"/>
      <c r="H1" s="28"/>
      <c r="I1" s="28"/>
      <c r="J1" s="28"/>
      <c r="K1" s="1"/>
      <c r="L1" s="1"/>
      <c r="M1" s="1"/>
      <c r="N1" s="1"/>
      <c r="O1" s="1"/>
      <c r="P1" s="1"/>
      <c r="Q1" s="1"/>
      <c r="R1" s="1"/>
    </row>
    <row r="2" spans="1:18" ht="15" customHeight="1" x14ac:dyDescent="0.4">
      <c r="A2" s="28"/>
      <c r="B2" s="28"/>
      <c r="C2" s="28"/>
      <c r="D2" s="28"/>
      <c r="E2" s="28"/>
      <c r="F2" s="28"/>
      <c r="G2" s="28"/>
      <c r="H2" s="28"/>
      <c r="I2" s="28"/>
      <c r="J2" s="28"/>
      <c r="K2" s="1"/>
      <c r="L2" s="1"/>
      <c r="M2" s="1"/>
      <c r="N2" s="1"/>
      <c r="O2" s="1"/>
      <c r="P2" s="1"/>
      <c r="Q2" s="1"/>
      <c r="R2" s="1"/>
    </row>
    <row r="4" spans="1:18" x14ac:dyDescent="0.25">
      <c r="A4" t="s">
        <v>84</v>
      </c>
    </row>
    <row r="6" spans="1:18" x14ac:dyDescent="0.25">
      <c r="B6" t="s">
        <v>85</v>
      </c>
    </row>
    <row r="8" spans="1:18" x14ac:dyDescent="0.25"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</row>
    <row r="9" spans="1:18" x14ac:dyDescent="0.25">
      <c r="B9" s="5" t="s">
        <v>21</v>
      </c>
      <c r="C9" s="5" t="s">
        <v>22</v>
      </c>
      <c r="D9" s="5" t="s">
        <v>23</v>
      </c>
      <c r="E9" s="5">
        <v>65000</v>
      </c>
      <c r="F9" s="6">
        <v>0.98</v>
      </c>
      <c r="G9" s="5" t="s">
        <v>24</v>
      </c>
      <c r="H9" s="5" t="s">
        <v>25</v>
      </c>
      <c r="I9" s="5">
        <v>4</v>
      </c>
    </row>
    <row r="10" spans="1:18" x14ac:dyDescent="0.25">
      <c r="B10" s="5" t="s">
        <v>26</v>
      </c>
      <c r="C10" s="5" t="s">
        <v>27</v>
      </c>
      <c r="D10" s="5" t="s">
        <v>23</v>
      </c>
      <c r="E10" s="5">
        <v>42000</v>
      </c>
      <c r="F10" s="6">
        <v>0.96</v>
      </c>
      <c r="G10" s="5" t="s">
        <v>25</v>
      </c>
      <c r="H10" s="5" t="s">
        <v>24</v>
      </c>
      <c r="I10" s="5">
        <v>2</v>
      </c>
    </row>
    <row r="11" spans="1:18" x14ac:dyDescent="0.25">
      <c r="B11" s="5" t="s">
        <v>28</v>
      </c>
      <c r="C11" s="5" t="s">
        <v>29</v>
      </c>
      <c r="D11" s="5" t="s">
        <v>30</v>
      </c>
      <c r="E11" s="5">
        <v>58000</v>
      </c>
      <c r="F11" s="6">
        <v>0.93</v>
      </c>
      <c r="G11" s="5" t="s">
        <v>24</v>
      </c>
      <c r="H11" s="5" t="s">
        <v>25</v>
      </c>
      <c r="I11" s="5">
        <v>5</v>
      </c>
    </row>
    <row r="12" spans="1:18" x14ac:dyDescent="0.25">
      <c r="B12" s="5" t="s">
        <v>31</v>
      </c>
      <c r="C12" s="5" t="s">
        <v>32</v>
      </c>
      <c r="D12" s="5" t="s">
        <v>33</v>
      </c>
      <c r="E12" s="5">
        <v>39000</v>
      </c>
      <c r="F12" s="6">
        <v>0.97</v>
      </c>
      <c r="G12" s="5" t="s">
        <v>24</v>
      </c>
      <c r="H12" s="5" t="s">
        <v>24</v>
      </c>
      <c r="I12" s="5">
        <v>3</v>
      </c>
    </row>
    <row r="13" spans="1:18" x14ac:dyDescent="0.25">
      <c r="B13" s="5" t="s">
        <v>34</v>
      </c>
      <c r="C13" s="5" t="s">
        <v>35</v>
      </c>
      <c r="D13" s="5" t="s">
        <v>23</v>
      </c>
      <c r="E13" s="5">
        <v>72000</v>
      </c>
      <c r="F13" s="6">
        <v>0.99</v>
      </c>
      <c r="G13" s="5" t="s">
        <v>24</v>
      </c>
      <c r="H13" s="5" t="s">
        <v>25</v>
      </c>
      <c r="I13" s="5">
        <v>6</v>
      </c>
    </row>
    <row r="14" spans="1:18" x14ac:dyDescent="0.25">
      <c r="B14" s="5" t="s">
        <v>36</v>
      </c>
      <c r="C14" s="5" t="s">
        <v>37</v>
      </c>
      <c r="D14" s="5" t="s">
        <v>30</v>
      </c>
      <c r="E14" s="5">
        <v>47000</v>
      </c>
      <c r="F14" s="6">
        <v>0.91</v>
      </c>
      <c r="G14" s="5" t="s">
        <v>25</v>
      </c>
      <c r="H14" s="5" t="s">
        <v>24</v>
      </c>
      <c r="I14" s="5">
        <v>2</v>
      </c>
    </row>
    <row r="15" spans="1:18" x14ac:dyDescent="0.25">
      <c r="B15" s="5" t="s">
        <v>38</v>
      </c>
      <c r="C15" s="5" t="s">
        <v>39</v>
      </c>
      <c r="D15" s="5" t="s">
        <v>40</v>
      </c>
      <c r="E15" s="5">
        <v>81000</v>
      </c>
      <c r="F15" s="6">
        <v>0.95</v>
      </c>
      <c r="G15" s="5" t="s">
        <v>24</v>
      </c>
      <c r="H15" s="5" t="s">
        <v>25</v>
      </c>
      <c r="I15" s="5">
        <v>7</v>
      </c>
    </row>
    <row r="16" spans="1:18" x14ac:dyDescent="0.25">
      <c r="B16" s="5" t="s">
        <v>41</v>
      </c>
      <c r="C16" s="5" t="s">
        <v>42</v>
      </c>
      <c r="D16" s="5" t="s">
        <v>33</v>
      </c>
      <c r="E16" s="5">
        <v>36000</v>
      </c>
      <c r="F16" s="6">
        <v>0.89</v>
      </c>
      <c r="G16" s="5" t="s">
        <v>25</v>
      </c>
      <c r="H16" s="5" t="s">
        <v>24</v>
      </c>
      <c r="I16" s="5">
        <v>1</v>
      </c>
    </row>
    <row r="17" spans="1:20" x14ac:dyDescent="0.25">
      <c r="B17" s="5" t="s">
        <v>43</v>
      </c>
      <c r="C17" s="5" t="s">
        <v>44</v>
      </c>
      <c r="D17" s="5" t="s">
        <v>23</v>
      </c>
      <c r="E17" s="5">
        <v>55000</v>
      </c>
      <c r="F17" s="6">
        <v>0.96</v>
      </c>
      <c r="G17" s="5" t="s">
        <v>24</v>
      </c>
      <c r="H17" s="5" t="s">
        <v>25</v>
      </c>
      <c r="I17" s="5">
        <v>4</v>
      </c>
    </row>
    <row r="18" spans="1:20" x14ac:dyDescent="0.25">
      <c r="B18" s="5" t="s">
        <v>45</v>
      </c>
      <c r="C18" s="5" t="s">
        <v>46</v>
      </c>
      <c r="D18" s="5" t="s">
        <v>30</v>
      </c>
      <c r="E18" s="5">
        <v>48000</v>
      </c>
      <c r="F18" s="6">
        <v>0.94</v>
      </c>
      <c r="G18" s="5" t="s">
        <v>25</v>
      </c>
      <c r="H18" s="5" t="s">
        <v>25</v>
      </c>
      <c r="I18" s="5">
        <v>3</v>
      </c>
    </row>
    <row r="20" spans="1:20" x14ac:dyDescent="0.25">
      <c r="A20" s="3" t="s">
        <v>86</v>
      </c>
    </row>
    <row r="21" spans="1:20" x14ac:dyDescent="0.25">
      <c r="A21" t="s">
        <v>87</v>
      </c>
    </row>
    <row r="22" spans="1:20" x14ac:dyDescent="0.25">
      <c r="A22" t="s">
        <v>88</v>
      </c>
    </row>
    <row r="23" spans="1:20" x14ac:dyDescent="0.25">
      <c r="A23" s="10" t="s">
        <v>89</v>
      </c>
      <c r="C23" s="27"/>
      <c r="O23" s="3" t="s">
        <v>90</v>
      </c>
    </row>
    <row r="24" spans="1:20" x14ac:dyDescent="0.25">
      <c r="C24" s="27"/>
    </row>
    <row r="25" spans="1:20" x14ac:dyDescent="0.25">
      <c r="B25" s="4" t="s">
        <v>13</v>
      </c>
      <c r="C25" s="4" t="s">
        <v>14</v>
      </c>
      <c r="D25" s="4" t="s">
        <v>15</v>
      </c>
      <c r="E25" s="4" t="s">
        <v>16</v>
      </c>
      <c r="F25" s="4" t="s">
        <v>17</v>
      </c>
      <c r="G25" s="4" t="s">
        <v>18</v>
      </c>
      <c r="H25" s="4" t="s">
        <v>19</v>
      </c>
      <c r="I25" s="4" t="s">
        <v>20</v>
      </c>
      <c r="J25" s="8" t="s">
        <v>91</v>
      </c>
      <c r="L25" s="4" t="s">
        <v>13</v>
      </c>
      <c r="M25" s="4" t="s">
        <v>14</v>
      </c>
      <c r="N25" s="4" t="s">
        <v>15</v>
      </c>
      <c r="O25" s="4" t="s">
        <v>16</v>
      </c>
      <c r="P25" s="4" t="s">
        <v>17</v>
      </c>
      <c r="Q25" s="4" t="s">
        <v>18</v>
      </c>
      <c r="R25" s="4" t="s">
        <v>19</v>
      </c>
      <c r="S25" s="4" t="s">
        <v>20</v>
      </c>
      <c r="T25" s="8" t="s">
        <v>91</v>
      </c>
    </row>
    <row r="26" spans="1:20" x14ac:dyDescent="0.25">
      <c r="B26" s="5" t="s">
        <v>21</v>
      </c>
      <c r="C26" s="5" t="s">
        <v>22</v>
      </c>
      <c r="D26" s="5" t="s">
        <v>23</v>
      </c>
      <c r="E26" s="5">
        <v>65000</v>
      </c>
      <c r="F26" s="6">
        <v>0.98</v>
      </c>
      <c r="G26" s="5" t="s">
        <v>24</v>
      </c>
      <c r="H26" s="5" t="s">
        <v>25</v>
      </c>
      <c r="I26" s="5">
        <v>4</v>
      </c>
      <c r="J26" s="9" t="b">
        <f>NOT(H26="Yes")</f>
        <v>1</v>
      </c>
      <c r="L26" s="5" t="s">
        <v>21</v>
      </c>
      <c r="M26" s="5" t="s">
        <v>22</v>
      </c>
      <c r="N26" s="5" t="s">
        <v>23</v>
      </c>
      <c r="O26" s="5">
        <v>65000</v>
      </c>
      <c r="P26" s="6">
        <v>0.98</v>
      </c>
      <c r="Q26" s="5" t="s">
        <v>24</v>
      </c>
      <c r="R26" s="5" t="s">
        <v>25</v>
      </c>
      <c r="S26" s="5">
        <v>4</v>
      </c>
      <c r="T26" s="9" t="str">
        <f>IF(NOT(R26="Yes"),"Work From Office","Work for Home")</f>
        <v>Work From Office</v>
      </c>
    </row>
    <row r="27" spans="1:20" x14ac:dyDescent="0.25">
      <c r="B27" s="5" t="s">
        <v>26</v>
      </c>
      <c r="C27" s="5" t="s">
        <v>27</v>
      </c>
      <c r="D27" s="5" t="s">
        <v>23</v>
      </c>
      <c r="E27" s="5">
        <v>42000</v>
      </c>
      <c r="F27" s="6">
        <v>0.96</v>
      </c>
      <c r="G27" s="5" t="s">
        <v>25</v>
      </c>
      <c r="H27" s="5" t="s">
        <v>24</v>
      </c>
      <c r="I27" s="5">
        <v>2</v>
      </c>
      <c r="J27" s="9" t="b">
        <f t="shared" ref="J27:J35" si="0">NOT(H27="Yes")</f>
        <v>0</v>
      </c>
      <c r="L27" s="5" t="s">
        <v>26</v>
      </c>
      <c r="M27" s="5" t="s">
        <v>27</v>
      </c>
      <c r="N27" s="5" t="s">
        <v>23</v>
      </c>
      <c r="O27" s="5">
        <v>42000</v>
      </c>
      <c r="P27" s="6">
        <v>0.96</v>
      </c>
      <c r="Q27" s="5" t="s">
        <v>25</v>
      </c>
      <c r="R27" s="5" t="s">
        <v>24</v>
      </c>
      <c r="S27" s="5">
        <v>2</v>
      </c>
      <c r="T27" s="9" t="str">
        <f t="shared" ref="T27:T35" si="1">IF(NOT(R27="Yes"),"Work From Office","Work for Home")</f>
        <v>Work for Home</v>
      </c>
    </row>
    <row r="28" spans="1:20" x14ac:dyDescent="0.25">
      <c r="B28" s="5" t="s">
        <v>28</v>
      </c>
      <c r="C28" s="5" t="s">
        <v>29</v>
      </c>
      <c r="D28" s="5" t="s">
        <v>30</v>
      </c>
      <c r="E28" s="5">
        <v>58000</v>
      </c>
      <c r="F28" s="6">
        <v>0.93</v>
      </c>
      <c r="G28" s="5" t="s">
        <v>24</v>
      </c>
      <c r="H28" s="5" t="s">
        <v>25</v>
      </c>
      <c r="I28" s="5">
        <v>5</v>
      </c>
      <c r="J28" s="9" t="b">
        <f t="shared" si="0"/>
        <v>1</v>
      </c>
      <c r="L28" s="5" t="s">
        <v>28</v>
      </c>
      <c r="M28" s="5" t="s">
        <v>29</v>
      </c>
      <c r="N28" s="5" t="s">
        <v>30</v>
      </c>
      <c r="O28" s="5">
        <v>58000</v>
      </c>
      <c r="P28" s="6">
        <v>0.93</v>
      </c>
      <c r="Q28" s="5" t="s">
        <v>24</v>
      </c>
      <c r="R28" s="5" t="s">
        <v>25</v>
      </c>
      <c r="S28" s="5">
        <v>5</v>
      </c>
      <c r="T28" s="9" t="str">
        <f t="shared" si="1"/>
        <v>Work From Office</v>
      </c>
    </row>
    <row r="29" spans="1:20" x14ac:dyDescent="0.25">
      <c r="B29" s="5" t="s">
        <v>31</v>
      </c>
      <c r="C29" s="5" t="s">
        <v>32</v>
      </c>
      <c r="D29" s="5" t="s">
        <v>33</v>
      </c>
      <c r="E29" s="5">
        <v>39000</v>
      </c>
      <c r="F29" s="6">
        <v>0.97</v>
      </c>
      <c r="G29" s="5" t="s">
        <v>24</v>
      </c>
      <c r="H29" s="5" t="s">
        <v>24</v>
      </c>
      <c r="I29" s="5">
        <v>3</v>
      </c>
      <c r="J29" s="9" t="b">
        <f t="shared" si="0"/>
        <v>0</v>
      </c>
      <c r="L29" s="5" t="s">
        <v>31</v>
      </c>
      <c r="M29" s="5" t="s">
        <v>32</v>
      </c>
      <c r="N29" s="5" t="s">
        <v>33</v>
      </c>
      <c r="O29" s="5">
        <v>39000</v>
      </c>
      <c r="P29" s="6">
        <v>0.97</v>
      </c>
      <c r="Q29" s="5" t="s">
        <v>24</v>
      </c>
      <c r="R29" s="5" t="s">
        <v>24</v>
      </c>
      <c r="S29" s="5">
        <v>3</v>
      </c>
      <c r="T29" s="9" t="str">
        <f t="shared" si="1"/>
        <v>Work for Home</v>
      </c>
    </row>
    <row r="30" spans="1:20" x14ac:dyDescent="0.25">
      <c r="B30" s="5" t="s">
        <v>34</v>
      </c>
      <c r="C30" s="5" t="s">
        <v>35</v>
      </c>
      <c r="D30" s="5" t="s">
        <v>23</v>
      </c>
      <c r="E30" s="5">
        <v>72000</v>
      </c>
      <c r="F30" s="6">
        <v>0.99</v>
      </c>
      <c r="G30" s="5" t="s">
        <v>24</v>
      </c>
      <c r="H30" s="5" t="s">
        <v>25</v>
      </c>
      <c r="I30" s="5">
        <v>6</v>
      </c>
      <c r="J30" s="9" t="b">
        <f t="shared" si="0"/>
        <v>1</v>
      </c>
      <c r="L30" s="5" t="s">
        <v>34</v>
      </c>
      <c r="M30" s="5" t="s">
        <v>35</v>
      </c>
      <c r="N30" s="5" t="s">
        <v>23</v>
      </c>
      <c r="O30" s="5">
        <v>72000</v>
      </c>
      <c r="P30" s="6">
        <v>0.99</v>
      </c>
      <c r="Q30" s="5" t="s">
        <v>24</v>
      </c>
      <c r="R30" s="5" t="s">
        <v>25</v>
      </c>
      <c r="S30" s="5">
        <v>6</v>
      </c>
      <c r="T30" s="9" t="str">
        <f t="shared" si="1"/>
        <v>Work From Office</v>
      </c>
    </row>
    <row r="31" spans="1:20" x14ac:dyDescent="0.25">
      <c r="B31" s="5" t="s">
        <v>36</v>
      </c>
      <c r="C31" s="5" t="s">
        <v>37</v>
      </c>
      <c r="D31" s="5" t="s">
        <v>30</v>
      </c>
      <c r="E31" s="5">
        <v>47000</v>
      </c>
      <c r="F31" s="6">
        <v>0.91</v>
      </c>
      <c r="G31" s="5" t="s">
        <v>25</v>
      </c>
      <c r="H31" s="5" t="s">
        <v>24</v>
      </c>
      <c r="I31" s="5">
        <v>2</v>
      </c>
      <c r="J31" s="9" t="b">
        <f t="shared" si="0"/>
        <v>0</v>
      </c>
      <c r="L31" s="5" t="s">
        <v>36</v>
      </c>
      <c r="M31" s="5" t="s">
        <v>37</v>
      </c>
      <c r="N31" s="5" t="s">
        <v>30</v>
      </c>
      <c r="O31" s="5">
        <v>47000</v>
      </c>
      <c r="P31" s="6">
        <v>0.91</v>
      </c>
      <c r="Q31" s="5" t="s">
        <v>25</v>
      </c>
      <c r="R31" s="5" t="s">
        <v>24</v>
      </c>
      <c r="S31" s="5">
        <v>2</v>
      </c>
      <c r="T31" s="9" t="str">
        <f t="shared" si="1"/>
        <v>Work for Home</v>
      </c>
    </row>
    <row r="32" spans="1:20" x14ac:dyDescent="0.25">
      <c r="B32" s="5" t="s">
        <v>38</v>
      </c>
      <c r="C32" s="5" t="s">
        <v>39</v>
      </c>
      <c r="D32" s="5" t="s">
        <v>40</v>
      </c>
      <c r="E32" s="5">
        <v>81000</v>
      </c>
      <c r="F32" s="6">
        <v>0.95</v>
      </c>
      <c r="G32" s="5" t="s">
        <v>24</v>
      </c>
      <c r="H32" s="5" t="s">
        <v>25</v>
      </c>
      <c r="I32" s="5">
        <v>7</v>
      </c>
      <c r="J32" s="9" t="b">
        <f t="shared" si="0"/>
        <v>1</v>
      </c>
      <c r="L32" s="5" t="s">
        <v>38</v>
      </c>
      <c r="M32" s="5" t="s">
        <v>39</v>
      </c>
      <c r="N32" s="5" t="s">
        <v>40</v>
      </c>
      <c r="O32" s="5">
        <v>81000</v>
      </c>
      <c r="P32" s="6">
        <v>0.95</v>
      </c>
      <c r="Q32" s="5" t="s">
        <v>24</v>
      </c>
      <c r="R32" s="5" t="s">
        <v>25</v>
      </c>
      <c r="S32" s="5">
        <v>7</v>
      </c>
      <c r="T32" s="9" t="str">
        <f t="shared" si="1"/>
        <v>Work From Office</v>
      </c>
    </row>
    <row r="33" spans="1:20" x14ac:dyDescent="0.25">
      <c r="B33" s="5" t="s">
        <v>41</v>
      </c>
      <c r="C33" s="5" t="s">
        <v>42</v>
      </c>
      <c r="D33" s="5" t="s">
        <v>33</v>
      </c>
      <c r="E33" s="5">
        <v>36000</v>
      </c>
      <c r="F33" s="6">
        <v>0.89</v>
      </c>
      <c r="G33" s="5" t="s">
        <v>25</v>
      </c>
      <c r="H33" s="5" t="s">
        <v>24</v>
      </c>
      <c r="I33" s="5">
        <v>1</v>
      </c>
      <c r="J33" s="9" t="b">
        <f t="shared" si="0"/>
        <v>0</v>
      </c>
      <c r="L33" s="5" t="s">
        <v>41</v>
      </c>
      <c r="M33" s="5" t="s">
        <v>42</v>
      </c>
      <c r="N33" s="5" t="s">
        <v>33</v>
      </c>
      <c r="O33" s="5">
        <v>36000</v>
      </c>
      <c r="P33" s="6">
        <v>0.89</v>
      </c>
      <c r="Q33" s="5" t="s">
        <v>25</v>
      </c>
      <c r="R33" s="5" t="s">
        <v>24</v>
      </c>
      <c r="S33" s="5">
        <v>1</v>
      </c>
      <c r="T33" s="9" t="str">
        <f t="shared" si="1"/>
        <v>Work for Home</v>
      </c>
    </row>
    <row r="34" spans="1:20" x14ac:dyDescent="0.25">
      <c r="B34" s="5" t="s">
        <v>43</v>
      </c>
      <c r="C34" s="5" t="s">
        <v>44</v>
      </c>
      <c r="D34" s="5" t="s">
        <v>23</v>
      </c>
      <c r="E34" s="5">
        <v>55000</v>
      </c>
      <c r="F34" s="6">
        <v>0.96</v>
      </c>
      <c r="G34" s="5" t="s">
        <v>24</v>
      </c>
      <c r="H34" s="5" t="s">
        <v>25</v>
      </c>
      <c r="I34" s="5">
        <v>4</v>
      </c>
      <c r="J34" s="9" t="b">
        <f t="shared" si="0"/>
        <v>1</v>
      </c>
      <c r="L34" s="5" t="s">
        <v>43</v>
      </c>
      <c r="M34" s="5" t="s">
        <v>44</v>
      </c>
      <c r="N34" s="5" t="s">
        <v>23</v>
      </c>
      <c r="O34" s="5">
        <v>55000</v>
      </c>
      <c r="P34" s="6">
        <v>0.96</v>
      </c>
      <c r="Q34" s="5" t="s">
        <v>24</v>
      </c>
      <c r="R34" s="5" t="s">
        <v>25</v>
      </c>
      <c r="S34" s="5">
        <v>4</v>
      </c>
      <c r="T34" s="9" t="str">
        <f t="shared" si="1"/>
        <v>Work From Office</v>
      </c>
    </row>
    <row r="35" spans="1:20" x14ac:dyDescent="0.25">
      <c r="B35" s="5" t="s">
        <v>45</v>
      </c>
      <c r="C35" s="5" t="s">
        <v>46</v>
      </c>
      <c r="D35" s="5" t="s">
        <v>30</v>
      </c>
      <c r="E35" s="5">
        <v>48000</v>
      </c>
      <c r="F35" s="6">
        <v>0.94</v>
      </c>
      <c r="G35" s="5" t="s">
        <v>25</v>
      </c>
      <c r="H35" s="5" t="s">
        <v>25</v>
      </c>
      <c r="I35" s="5">
        <v>3</v>
      </c>
      <c r="J35" s="9" t="b">
        <f t="shared" si="0"/>
        <v>1</v>
      </c>
      <c r="L35" s="5" t="s">
        <v>45</v>
      </c>
      <c r="M35" s="5" t="s">
        <v>46</v>
      </c>
      <c r="N35" s="5" t="s">
        <v>30</v>
      </c>
      <c r="O35" s="5">
        <v>48000</v>
      </c>
      <c r="P35" s="6">
        <v>0.94</v>
      </c>
      <c r="Q35" s="5" t="s">
        <v>25</v>
      </c>
      <c r="R35" s="5" t="s">
        <v>25</v>
      </c>
      <c r="S35" s="5">
        <v>3</v>
      </c>
      <c r="T35" s="9" t="str">
        <f t="shared" si="1"/>
        <v>Work From Office</v>
      </c>
    </row>
    <row r="38" spans="1:20" ht="18" x14ac:dyDescent="0.25">
      <c r="A38" s="2" t="s">
        <v>92</v>
      </c>
    </row>
    <row r="39" spans="1:20" x14ac:dyDescent="0.25">
      <c r="A39" s="3" t="s">
        <v>87</v>
      </c>
      <c r="B39" s="7"/>
    </row>
    <row r="40" spans="1:20" x14ac:dyDescent="0.25">
      <c r="A40" t="s">
        <v>93</v>
      </c>
      <c r="B40" s="7"/>
    </row>
    <row r="41" spans="1:20" x14ac:dyDescent="0.25">
      <c r="A41" s="10" t="s">
        <v>94</v>
      </c>
      <c r="B41" s="7"/>
    </row>
    <row r="43" spans="1:20" x14ac:dyDescent="0.25">
      <c r="B43" s="4" t="s">
        <v>13</v>
      </c>
      <c r="C43" s="4" t="s">
        <v>14</v>
      </c>
      <c r="D43" s="4" t="s">
        <v>15</v>
      </c>
      <c r="E43" s="4" t="s">
        <v>16</v>
      </c>
      <c r="F43" s="4" t="s">
        <v>17</v>
      </c>
      <c r="G43" s="4" t="s">
        <v>18</v>
      </c>
      <c r="H43" s="4" t="s">
        <v>19</v>
      </c>
      <c r="I43" s="4" t="s">
        <v>20</v>
      </c>
      <c r="J43" s="8" t="s">
        <v>95</v>
      </c>
      <c r="L43" s="4" t="s">
        <v>13</v>
      </c>
      <c r="M43" s="4" t="s">
        <v>14</v>
      </c>
      <c r="N43" s="4" t="s">
        <v>15</v>
      </c>
      <c r="O43" s="4" t="s">
        <v>16</v>
      </c>
      <c r="P43" s="4" t="s">
        <v>17</v>
      </c>
      <c r="Q43" s="4" t="s">
        <v>18</v>
      </c>
      <c r="R43" s="4" t="s">
        <v>19</v>
      </c>
      <c r="S43" s="4" t="s">
        <v>20</v>
      </c>
      <c r="T43" s="8" t="s">
        <v>95</v>
      </c>
    </row>
    <row r="44" spans="1:20" x14ac:dyDescent="0.25">
      <c r="B44" s="5" t="s">
        <v>21</v>
      </c>
      <c r="C44" s="5" t="s">
        <v>22</v>
      </c>
      <c r="D44" s="5" t="s">
        <v>23</v>
      </c>
      <c r="E44" s="5">
        <v>65000</v>
      </c>
      <c r="F44" s="6">
        <v>0.98</v>
      </c>
      <c r="G44" s="5" t="s">
        <v>24</v>
      </c>
      <c r="H44" s="5" t="s">
        <v>25</v>
      </c>
      <c r="I44" s="5">
        <v>4</v>
      </c>
      <c r="J44" s="9" t="b">
        <f>NOT(G44="No")</f>
        <v>1</v>
      </c>
      <c r="L44" s="5" t="s">
        <v>21</v>
      </c>
      <c r="M44" s="5" t="s">
        <v>22</v>
      </c>
      <c r="N44" s="5" t="s">
        <v>23</v>
      </c>
      <c r="O44" s="5">
        <v>65000</v>
      </c>
      <c r="P44" s="6">
        <v>0.98</v>
      </c>
      <c r="Q44" s="5" t="s">
        <v>24</v>
      </c>
      <c r="R44" s="5" t="s">
        <v>25</v>
      </c>
      <c r="S44" s="5">
        <v>4</v>
      </c>
      <c r="T44" s="9" t="str">
        <f>IF(NOT(Q44="No")," Achieved", "Not achieved")</f>
        <v xml:space="preserve"> Achieved</v>
      </c>
    </row>
    <row r="45" spans="1:20" x14ac:dyDescent="0.25">
      <c r="B45" s="5" t="s">
        <v>26</v>
      </c>
      <c r="C45" s="5" t="s">
        <v>27</v>
      </c>
      <c r="D45" s="5" t="s">
        <v>23</v>
      </c>
      <c r="E45" s="5">
        <v>42000</v>
      </c>
      <c r="F45" s="6">
        <v>0.96</v>
      </c>
      <c r="G45" s="5" t="s">
        <v>25</v>
      </c>
      <c r="H45" s="5" t="s">
        <v>24</v>
      </c>
      <c r="I45" s="5">
        <v>2</v>
      </c>
      <c r="J45" s="9" t="b">
        <f t="shared" ref="J45:J53" si="2">NOT(G45="No")</f>
        <v>0</v>
      </c>
      <c r="L45" s="5" t="s">
        <v>26</v>
      </c>
      <c r="M45" s="5" t="s">
        <v>27</v>
      </c>
      <c r="N45" s="5" t="s">
        <v>23</v>
      </c>
      <c r="O45" s="5">
        <v>42000</v>
      </c>
      <c r="P45" s="6">
        <v>0.96</v>
      </c>
      <c r="Q45" s="5" t="s">
        <v>25</v>
      </c>
      <c r="R45" s="5" t="s">
        <v>24</v>
      </c>
      <c r="S45" s="5">
        <v>2</v>
      </c>
      <c r="T45" s="9" t="str">
        <f t="shared" ref="T45:T53" si="3">IF(NOT(Q45="No")," Achieved", "Not achieved")</f>
        <v>Not achieved</v>
      </c>
    </row>
    <row r="46" spans="1:20" x14ac:dyDescent="0.25">
      <c r="B46" s="5" t="s">
        <v>28</v>
      </c>
      <c r="C46" s="5" t="s">
        <v>29</v>
      </c>
      <c r="D46" s="5" t="s">
        <v>30</v>
      </c>
      <c r="E46" s="5">
        <v>58000</v>
      </c>
      <c r="F46" s="6">
        <v>0.93</v>
      </c>
      <c r="G46" s="5" t="s">
        <v>24</v>
      </c>
      <c r="H46" s="5" t="s">
        <v>25</v>
      </c>
      <c r="I46" s="5">
        <v>5</v>
      </c>
      <c r="J46" s="9" t="b">
        <f t="shared" si="2"/>
        <v>1</v>
      </c>
      <c r="L46" s="5" t="s">
        <v>28</v>
      </c>
      <c r="M46" s="5" t="s">
        <v>29</v>
      </c>
      <c r="N46" s="5" t="s">
        <v>30</v>
      </c>
      <c r="O46" s="5">
        <v>58000</v>
      </c>
      <c r="P46" s="6">
        <v>0.93</v>
      </c>
      <c r="Q46" s="5" t="s">
        <v>24</v>
      </c>
      <c r="R46" s="5" t="s">
        <v>25</v>
      </c>
      <c r="S46" s="5">
        <v>5</v>
      </c>
      <c r="T46" s="9" t="str">
        <f t="shared" si="3"/>
        <v xml:space="preserve"> Achieved</v>
      </c>
    </row>
    <row r="47" spans="1:20" x14ac:dyDescent="0.25">
      <c r="B47" s="5" t="s">
        <v>31</v>
      </c>
      <c r="C47" s="5" t="s">
        <v>32</v>
      </c>
      <c r="D47" s="5" t="s">
        <v>33</v>
      </c>
      <c r="E47" s="5">
        <v>39000</v>
      </c>
      <c r="F47" s="6">
        <v>0.97</v>
      </c>
      <c r="G47" s="5" t="s">
        <v>24</v>
      </c>
      <c r="H47" s="5" t="s">
        <v>24</v>
      </c>
      <c r="I47" s="5">
        <v>3</v>
      </c>
      <c r="J47" s="9" t="b">
        <f t="shared" si="2"/>
        <v>1</v>
      </c>
      <c r="L47" s="5" t="s">
        <v>31</v>
      </c>
      <c r="M47" s="5" t="s">
        <v>32</v>
      </c>
      <c r="N47" s="5" t="s">
        <v>33</v>
      </c>
      <c r="O47" s="5">
        <v>39000</v>
      </c>
      <c r="P47" s="6">
        <v>0.97</v>
      </c>
      <c r="Q47" s="5" t="s">
        <v>24</v>
      </c>
      <c r="R47" s="5" t="s">
        <v>24</v>
      </c>
      <c r="S47" s="5">
        <v>3</v>
      </c>
      <c r="T47" s="9" t="str">
        <f t="shared" si="3"/>
        <v xml:space="preserve"> Achieved</v>
      </c>
    </row>
    <row r="48" spans="1:20" x14ac:dyDescent="0.25">
      <c r="B48" s="5" t="s">
        <v>34</v>
      </c>
      <c r="C48" s="5" t="s">
        <v>35</v>
      </c>
      <c r="D48" s="5" t="s">
        <v>23</v>
      </c>
      <c r="E48" s="5">
        <v>72000</v>
      </c>
      <c r="F48" s="6">
        <v>0.99</v>
      </c>
      <c r="G48" s="5" t="s">
        <v>24</v>
      </c>
      <c r="H48" s="5" t="s">
        <v>25</v>
      </c>
      <c r="I48" s="5">
        <v>6</v>
      </c>
      <c r="J48" s="9" t="b">
        <f t="shared" si="2"/>
        <v>1</v>
      </c>
      <c r="L48" s="5" t="s">
        <v>34</v>
      </c>
      <c r="M48" s="5" t="s">
        <v>35</v>
      </c>
      <c r="N48" s="5" t="s">
        <v>23</v>
      </c>
      <c r="O48" s="5">
        <v>72000</v>
      </c>
      <c r="P48" s="6">
        <v>0.99</v>
      </c>
      <c r="Q48" s="5" t="s">
        <v>24</v>
      </c>
      <c r="R48" s="5" t="s">
        <v>25</v>
      </c>
      <c r="S48" s="5">
        <v>6</v>
      </c>
      <c r="T48" s="9" t="str">
        <f t="shared" si="3"/>
        <v xml:space="preserve"> Achieved</v>
      </c>
    </row>
    <row r="49" spans="2:20" x14ac:dyDescent="0.25">
      <c r="B49" s="5" t="s">
        <v>36</v>
      </c>
      <c r="C49" s="5" t="s">
        <v>37</v>
      </c>
      <c r="D49" s="5" t="s">
        <v>30</v>
      </c>
      <c r="E49" s="5">
        <v>47000</v>
      </c>
      <c r="F49" s="6">
        <v>0.91</v>
      </c>
      <c r="G49" s="5" t="s">
        <v>25</v>
      </c>
      <c r="H49" s="5" t="s">
        <v>24</v>
      </c>
      <c r="I49" s="5">
        <v>2</v>
      </c>
      <c r="J49" s="9" t="b">
        <f t="shared" si="2"/>
        <v>0</v>
      </c>
      <c r="L49" s="5" t="s">
        <v>36</v>
      </c>
      <c r="M49" s="5" t="s">
        <v>37</v>
      </c>
      <c r="N49" s="5" t="s">
        <v>30</v>
      </c>
      <c r="O49" s="5">
        <v>47000</v>
      </c>
      <c r="P49" s="6">
        <v>0.91</v>
      </c>
      <c r="Q49" s="5" t="s">
        <v>25</v>
      </c>
      <c r="R49" s="5" t="s">
        <v>24</v>
      </c>
      <c r="S49" s="5">
        <v>2</v>
      </c>
      <c r="T49" s="9" t="str">
        <f t="shared" si="3"/>
        <v>Not achieved</v>
      </c>
    </row>
    <row r="50" spans="2:20" x14ac:dyDescent="0.25">
      <c r="B50" s="5" t="s">
        <v>38</v>
      </c>
      <c r="C50" s="5" t="s">
        <v>39</v>
      </c>
      <c r="D50" s="5" t="s">
        <v>40</v>
      </c>
      <c r="E50" s="5">
        <v>81000</v>
      </c>
      <c r="F50" s="6">
        <v>0.95</v>
      </c>
      <c r="G50" s="5" t="s">
        <v>24</v>
      </c>
      <c r="H50" s="5" t="s">
        <v>25</v>
      </c>
      <c r="I50" s="5">
        <v>7</v>
      </c>
      <c r="J50" s="9" t="b">
        <f t="shared" si="2"/>
        <v>1</v>
      </c>
      <c r="L50" s="5" t="s">
        <v>38</v>
      </c>
      <c r="M50" s="5" t="s">
        <v>39</v>
      </c>
      <c r="N50" s="5" t="s">
        <v>40</v>
      </c>
      <c r="O50" s="5">
        <v>81000</v>
      </c>
      <c r="P50" s="6">
        <v>0.95</v>
      </c>
      <c r="Q50" s="5" t="s">
        <v>24</v>
      </c>
      <c r="R50" s="5" t="s">
        <v>25</v>
      </c>
      <c r="S50" s="5">
        <v>7</v>
      </c>
      <c r="T50" s="9" t="str">
        <f t="shared" si="3"/>
        <v xml:space="preserve"> Achieved</v>
      </c>
    </row>
    <row r="51" spans="2:20" x14ac:dyDescent="0.25">
      <c r="B51" s="5" t="s">
        <v>41</v>
      </c>
      <c r="C51" s="5" t="s">
        <v>42</v>
      </c>
      <c r="D51" s="5" t="s">
        <v>33</v>
      </c>
      <c r="E51" s="5">
        <v>36000</v>
      </c>
      <c r="F51" s="6">
        <v>0.89</v>
      </c>
      <c r="G51" s="5" t="s">
        <v>25</v>
      </c>
      <c r="H51" s="5" t="s">
        <v>24</v>
      </c>
      <c r="I51" s="5">
        <v>1</v>
      </c>
      <c r="J51" s="9" t="b">
        <f t="shared" si="2"/>
        <v>0</v>
      </c>
      <c r="L51" s="5" t="s">
        <v>41</v>
      </c>
      <c r="M51" s="5" t="s">
        <v>42</v>
      </c>
      <c r="N51" s="5" t="s">
        <v>33</v>
      </c>
      <c r="O51" s="5">
        <v>36000</v>
      </c>
      <c r="P51" s="6">
        <v>0.89</v>
      </c>
      <c r="Q51" s="5" t="s">
        <v>25</v>
      </c>
      <c r="R51" s="5" t="s">
        <v>24</v>
      </c>
      <c r="S51" s="5">
        <v>1</v>
      </c>
      <c r="T51" s="9" t="str">
        <f t="shared" si="3"/>
        <v>Not achieved</v>
      </c>
    </row>
    <row r="52" spans="2:20" x14ac:dyDescent="0.25">
      <c r="B52" s="5" t="s">
        <v>43</v>
      </c>
      <c r="C52" s="5" t="s">
        <v>44</v>
      </c>
      <c r="D52" s="5" t="s">
        <v>23</v>
      </c>
      <c r="E52" s="5">
        <v>55000</v>
      </c>
      <c r="F52" s="6">
        <v>0.96</v>
      </c>
      <c r="G52" s="5" t="s">
        <v>24</v>
      </c>
      <c r="H52" s="5" t="s">
        <v>25</v>
      </c>
      <c r="I52" s="5">
        <v>4</v>
      </c>
      <c r="J52" s="9" t="b">
        <f t="shared" si="2"/>
        <v>1</v>
      </c>
      <c r="L52" s="5" t="s">
        <v>43</v>
      </c>
      <c r="M52" s="5" t="s">
        <v>44</v>
      </c>
      <c r="N52" s="5" t="s">
        <v>23</v>
      </c>
      <c r="O52" s="5">
        <v>55000</v>
      </c>
      <c r="P52" s="6">
        <v>0.96</v>
      </c>
      <c r="Q52" s="5" t="s">
        <v>24</v>
      </c>
      <c r="R52" s="5" t="s">
        <v>25</v>
      </c>
      <c r="S52" s="5">
        <v>4</v>
      </c>
      <c r="T52" s="9" t="str">
        <f t="shared" si="3"/>
        <v xml:space="preserve"> Achieved</v>
      </c>
    </row>
    <row r="53" spans="2:20" x14ac:dyDescent="0.25">
      <c r="B53" s="5" t="s">
        <v>45</v>
      </c>
      <c r="C53" s="5" t="s">
        <v>46</v>
      </c>
      <c r="D53" s="5" t="s">
        <v>30</v>
      </c>
      <c r="E53" s="5">
        <v>48000</v>
      </c>
      <c r="F53" s="6">
        <v>0.94</v>
      </c>
      <c r="G53" s="5" t="s">
        <v>25</v>
      </c>
      <c r="H53" s="5" t="s">
        <v>25</v>
      </c>
      <c r="I53" s="5">
        <v>3</v>
      </c>
      <c r="J53" s="9" t="b">
        <f t="shared" si="2"/>
        <v>0</v>
      </c>
      <c r="L53" s="5" t="s">
        <v>45</v>
      </c>
      <c r="M53" s="5" t="s">
        <v>46</v>
      </c>
      <c r="N53" s="5" t="s">
        <v>30</v>
      </c>
      <c r="O53" s="5">
        <v>48000</v>
      </c>
      <c r="P53" s="6">
        <v>0.94</v>
      </c>
      <c r="Q53" s="5" t="s">
        <v>25</v>
      </c>
      <c r="R53" s="5" t="s">
        <v>25</v>
      </c>
      <c r="S53" s="5">
        <v>3</v>
      </c>
      <c r="T53" s="9" t="str">
        <f t="shared" si="3"/>
        <v>Not achieved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AND</vt:lpstr>
      <vt:lpstr>OR</vt:lpstr>
      <vt:lpstr>NOT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2026-08-06T10:21:48Z</dcterms:created>
  <dcterms:modified xsi:type="dcterms:W3CDTF">2026-08-13T11:12:32Z</dcterms:modified>
</cp:coreProperties>
</file>