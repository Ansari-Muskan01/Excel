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96ACB18E-BE02-4C81-AED5-3E6F890652A2}" xr6:coauthVersionLast="47" xr6:coauthVersionMax="47" xr10:uidLastSave="{00000000-0000-0000-0000-000000000000}"/>
  <bookViews>
    <workbookView xWindow="-120" yWindow="-120" windowWidth="20730" windowHeight="11160" firstSheet="3" activeTab="6" xr2:uid="{3C6A0B15-1C54-43A0-80DD-36969291A431}"/>
  </bookViews>
  <sheets>
    <sheet name="Lecture1" sheetId="1" r:id="rId1"/>
    <sheet name="Lectue2" sheetId="2" r:id="rId2"/>
    <sheet name="Mumbai Branch" sheetId="3" r:id="rId3"/>
    <sheet name="Delhi Branch" sheetId="4" r:id="rId4"/>
    <sheet name="Pune Branch" sheetId="5" r:id="rId5"/>
    <sheet name="Summary Sheet (After Consolidat" sheetId="8" r:id="rId6"/>
    <sheet name="LECTURE3" sheetId="13" r:id="rId7"/>
    <sheet name="Text Function" sheetId="12" r:id="rId8"/>
  </sheets>
  <definedNames>
    <definedName name="Price">#REF!</definedName>
    <definedName name="Qty">#REF!</definedName>
    <definedName name="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2" l="1"/>
  <c r="S39" i="12"/>
  <c r="M38" i="12"/>
  <c r="Q39" i="12"/>
  <c r="H39" i="12"/>
  <c r="D38" i="12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E126" i="1"/>
  <c r="F126" i="1"/>
  <c r="G126" i="1"/>
  <c r="H126" i="1"/>
  <c r="D126" i="1"/>
  <c r="H117" i="1"/>
  <c r="E117" i="1"/>
  <c r="F117" i="1"/>
  <c r="G117" i="1"/>
  <c r="F118" i="1"/>
  <c r="G118" i="1"/>
  <c r="H118" i="1"/>
  <c r="F119" i="1"/>
  <c r="G119" i="1"/>
  <c r="H119" i="1"/>
  <c r="E119" i="1"/>
  <c r="E118" i="1"/>
  <c r="G83" i="1"/>
  <c r="G84" i="1"/>
  <c r="G85" i="1"/>
  <c r="G86" i="1"/>
  <c r="G78" i="1"/>
  <c r="G79" i="1"/>
  <c r="G80" i="1"/>
  <c r="G81" i="1"/>
  <c r="G82" i="1"/>
  <c r="G77" i="1"/>
  <c r="H60" i="1"/>
  <c r="H61" i="1"/>
  <c r="H62" i="1"/>
  <c r="H63" i="1"/>
  <c r="H64" i="1"/>
  <c r="H65" i="1"/>
  <c r="H66" i="1"/>
  <c r="H67" i="1"/>
  <c r="H68" i="1"/>
  <c r="H59" i="1"/>
  <c r="P36" i="1"/>
  <c r="N33" i="1"/>
  <c r="N38" i="1"/>
  <c r="N34" i="1"/>
  <c r="N35" i="1"/>
  <c r="N36" i="1"/>
  <c r="N37" i="1"/>
  <c r="D34" i="1"/>
  <c r="G22" i="1"/>
  <c r="G15" i="1"/>
  <c r="G7" i="1"/>
  <c r="G8" i="1"/>
  <c r="G9" i="1"/>
  <c r="G10" i="1"/>
  <c r="G11" i="1"/>
  <c r="G12" i="1"/>
  <c r="G13" i="1"/>
  <c r="G14" i="1"/>
  <c r="G6" i="1"/>
  <c r="G18" i="1" s="1"/>
  <c r="G21" i="1" l="1"/>
  <c r="G20" i="1"/>
  <c r="G19" i="1"/>
</calcChain>
</file>

<file path=xl/sharedStrings.xml><?xml version="1.0" encoding="utf-8"?>
<sst xmlns="http://schemas.openxmlformats.org/spreadsheetml/2006/main" count="774" uniqueCount="465">
  <si>
    <t>Topic 1: Exploring Excel Formulas and Functions</t>
  </si>
  <si>
    <t>Product</t>
  </si>
  <si>
    <t>Qty</t>
  </si>
  <si>
    <t>Price</t>
  </si>
  <si>
    <t>Laptop</t>
  </si>
  <si>
    <t>Mouse</t>
  </si>
  <si>
    <t>Keyboard</t>
  </si>
  <si>
    <t>Monitor</t>
  </si>
  <si>
    <t>Topic 2: Tracing Precedents and Dependents</t>
  </si>
  <si>
    <t>What is Cell Reference?</t>
  </si>
  <si>
    <t>A Cell Reference is the address of a cell that Excel uses in a formula to perform calculations.</t>
  </si>
  <si>
    <t>Types of Cell References</t>
  </si>
  <si>
    <t>Excel provides three types of references:</t>
  </si>
  <si>
    <t>Relative Reference</t>
  </si>
  <si>
    <t>Absolute Reference</t>
  </si>
  <si>
    <t>Mixed Reference</t>
  </si>
  <si>
    <t>Relative Reference : A Relative Reference changes automatically when a formula is copied to another cell.</t>
  </si>
  <si>
    <t>Order ID</t>
  </si>
  <si>
    <t>Quantity</t>
  </si>
  <si>
    <t>Unit Price</t>
  </si>
  <si>
    <t>Total Sales</t>
  </si>
  <si>
    <t>ORD001</t>
  </si>
  <si>
    <t>ORD002</t>
  </si>
  <si>
    <t>ORD003</t>
  </si>
  <si>
    <t>ORD004</t>
  </si>
  <si>
    <t>ORD005</t>
  </si>
  <si>
    <t>Printer</t>
  </si>
  <si>
    <t>ORD006</t>
  </si>
  <si>
    <t>Webcam</t>
  </si>
  <si>
    <t>ORD007</t>
  </si>
  <si>
    <t>Speaker</t>
  </si>
  <si>
    <t>ORD008</t>
  </si>
  <si>
    <t>SSD</t>
  </si>
  <si>
    <t>ORD009</t>
  </si>
  <si>
    <t>RAM</t>
  </si>
  <si>
    <t>ORD010</t>
  </si>
  <si>
    <t>UPS</t>
  </si>
  <si>
    <r>
      <t>TechZone Electronics</t>
    </r>
    <r>
      <rPr>
        <sz val="11"/>
        <color theme="1"/>
        <rFont val="Aptos Narrow"/>
        <family val="2"/>
        <scheme val="minor"/>
      </rPr>
      <t xml:space="preserve"> has shared today's product sales data. The Sales Manager needs a quick sales summary before presenting the report to the management team.</t>
    </r>
  </si>
  <si>
    <t>Price (₹)</t>
  </si>
  <si>
    <t>Total Sales (₹)</t>
  </si>
  <si>
    <t>Pendrive</t>
  </si>
  <si>
    <t>Headphones</t>
  </si>
  <si>
    <t>Find the Highest Sales Amount.</t>
  </si>
  <si>
    <t>Find the Lowest Sales Amount.</t>
  </si>
  <si>
    <t>Count the Total Number of Sales Records.</t>
  </si>
  <si>
    <t>Calculate the Total Quantity Sold.</t>
  </si>
  <si>
    <t>Calculate the Total Sales for each product. (HINT : Formula (Qty × Price))</t>
  </si>
  <si>
    <t>Calculate the Grand Total of Sales</t>
  </si>
  <si>
    <r>
      <t>Tracing Precedents:</t>
    </r>
    <r>
      <rPr>
        <sz val="11"/>
        <color theme="1"/>
        <rFont val="Aptos Narrow"/>
        <family val="2"/>
        <scheme val="minor"/>
      </rPr>
      <t xml:space="preserve"> Shows the cells that provide data to the selected formula.</t>
    </r>
  </si>
  <si>
    <r>
      <t>Tracing Dependents:</t>
    </r>
    <r>
      <rPr>
        <sz val="11"/>
        <color theme="1"/>
        <rFont val="Aptos Narrow"/>
        <family val="2"/>
        <scheme val="minor"/>
      </rPr>
      <t xml:space="preserve"> Shows the cells that use the value of the selected cell.</t>
    </r>
  </si>
  <si>
    <t>Formula</t>
  </si>
  <si>
    <t>Discount Rate</t>
  </si>
  <si>
    <t>Discount Amount</t>
  </si>
  <si>
    <t xml:space="preserve">Absolute Reference : An Absolute Reference is a cell reference that always refers to the same cell, even when a formula is copied to another cell. </t>
  </si>
  <si>
    <t>It is represented using the $ symbol before both the column letter and the row number (e.g., $F$2).</t>
  </si>
  <si>
    <r>
      <t>Hint:</t>
    </r>
    <r>
      <rPr>
        <sz val="11"/>
        <color theme="1"/>
        <rFont val="Aptos Narrow"/>
        <family val="2"/>
        <scheme val="minor"/>
      </rPr>
      <t xml:space="preserve"> Formula = </t>
    </r>
    <r>
      <rPr>
        <b/>
        <sz val="11"/>
        <color theme="1"/>
        <rFont val="Aptos Narrow"/>
        <family val="2"/>
        <scheme val="minor"/>
      </rPr>
      <t>Total Sales × Discount Rate</t>
    </r>
  </si>
  <si>
    <t>Salesperson</t>
  </si>
  <si>
    <t>Rahul</t>
  </si>
  <si>
    <t>Priya</t>
  </si>
  <si>
    <t>Aman</t>
  </si>
  <si>
    <t>Rate</t>
  </si>
  <si>
    <t>Sales Data</t>
  </si>
  <si>
    <t>Commission Rate</t>
  </si>
  <si>
    <r>
      <t>B2</t>
    </r>
    <r>
      <rPr>
        <sz val="11"/>
        <color theme="1"/>
        <rFont val="Aptos Narrow"/>
        <family val="2"/>
        <scheme val="minor"/>
      </rPr>
      <t xml:space="preserve"> → Relative Reference (changes when copied)</t>
    </r>
  </si>
  <si>
    <r>
      <t>B$6</t>
    </r>
    <r>
      <rPr>
        <sz val="11"/>
        <color theme="1"/>
        <rFont val="Aptos Narrow"/>
        <family val="2"/>
        <scheme val="minor"/>
      </rPr>
      <t xml:space="preserve"> → Mixed Reference (row 6 is fixed, column changes)</t>
    </r>
  </si>
  <si>
    <t>Hint: Formula = Sales Amount × Commission Rate</t>
  </si>
  <si>
    <t>Task : Calculate the commission amount for each salesperson based on the product-wise commission rate.</t>
  </si>
  <si>
    <t xml:space="preserve">Total </t>
  </si>
  <si>
    <t>S.N.</t>
  </si>
  <si>
    <t>Qun.</t>
  </si>
  <si>
    <t>Total Amount</t>
  </si>
  <si>
    <t>GST</t>
  </si>
  <si>
    <t>Grand Total</t>
  </si>
  <si>
    <t>Adidas</t>
  </si>
  <si>
    <t>Nike</t>
  </si>
  <si>
    <t>Reebok</t>
  </si>
  <si>
    <t>Bata</t>
  </si>
  <si>
    <t>Puma</t>
  </si>
  <si>
    <t>Total Pay Amount</t>
  </si>
  <si>
    <t>Mixed Reference : A Mixed Reference is a type of cell reference in Excel where either the row or the column is fixed.and the remaining part changes automatically when we copy the formula.</t>
  </si>
  <si>
    <t>Named Range</t>
  </si>
  <si>
    <t>What is a Cell Range?</t>
  </si>
  <si>
    <t>Examples:</t>
  </si>
  <si>
    <r>
      <t>A1:A10</t>
    </r>
    <r>
      <rPr>
        <sz val="11"/>
        <color theme="1"/>
        <rFont val="Aptos Narrow"/>
        <family val="2"/>
        <scheme val="minor"/>
      </rPr>
      <t xml:space="preserve"> → Cells from A1 to A10</t>
    </r>
  </si>
  <si>
    <r>
      <t>B2:D6</t>
    </r>
    <r>
      <rPr>
        <sz val="11"/>
        <color theme="1"/>
        <rFont val="Aptos Narrow"/>
        <family val="2"/>
        <scheme val="minor"/>
      </rPr>
      <t xml:space="preserve"> → Cells from B2 to D6</t>
    </r>
  </si>
  <si>
    <r>
      <t>E5:G5</t>
    </r>
    <r>
      <rPr>
        <sz val="11"/>
        <color theme="1"/>
        <rFont val="Aptos Narrow"/>
        <family val="2"/>
        <scheme val="minor"/>
      </rPr>
      <t xml:space="preserve"> → Cells from E5 to G5</t>
    </r>
  </si>
  <si>
    <r>
      <t>A1:A10</t>
    </r>
    <r>
      <rPr>
        <sz val="11"/>
        <color theme="1"/>
        <rFont val="Aptos Narrow"/>
        <family val="2"/>
        <scheme val="minor"/>
      </rPr>
      <t xml:space="preserve"> means all the cells starting from </t>
    </r>
    <r>
      <rPr>
        <b/>
        <sz val="11"/>
        <color theme="1"/>
        <rFont val="Aptos Narrow"/>
        <family val="2"/>
        <scheme val="minor"/>
      </rPr>
      <t>A1</t>
    </r>
    <r>
      <rPr>
        <sz val="11"/>
        <color theme="1"/>
        <rFont val="Aptos Narrow"/>
        <family val="2"/>
        <scheme val="minor"/>
      </rPr>
      <t xml:space="preserve"> and ending at </t>
    </r>
    <r>
      <rPr>
        <b/>
        <sz val="11"/>
        <color theme="1"/>
        <rFont val="Aptos Narrow"/>
        <family val="2"/>
        <scheme val="minor"/>
      </rPr>
      <t>A10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</si>
  <si>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colon (</t>
    </r>
    <r>
      <rPr>
        <b/>
        <sz val="10"/>
        <color theme="1"/>
        <rFont val="Arial Unicode MS"/>
        <family val="2"/>
      </rPr>
      <t>: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indicates that all the cells between the first and last cell are included in the range.</t>
    </r>
  </si>
  <si>
    <t>Product ID</t>
  </si>
  <si>
    <t>Category</t>
  </si>
  <si>
    <t>Sales (₹)</t>
  </si>
  <si>
    <t>P101</t>
  </si>
  <si>
    <t>Electronics</t>
  </si>
  <si>
    <t>P102</t>
  </si>
  <si>
    <t>Accessories</t>
  </si>
  <si>
    <t>P103</t>
  </si>
  <si>
    <t>P104</t>
  </si>
  <si>
    <t>P105</t>
  </si>
  <si>
    <t>P106</t>
  </si>
  <si>
    <t>P107</t>
  </si>
  <si>
    <t>P108</t>
  </si>
  <si>
    <t>Router</t>
  </si>
  <si>
    <t>Networking</t>
  </si>
  <si>
    <t>Calculate the total sales generated by all products.</t>
  </si>
  <si>
    <t>Find the total quantity of products sold.</t>
  </si>
  <si>
    <t>Find the highest product price.</t>
  </si>
  <si>
    <t>Find the lowest product price.</t>
  </si>
  <si>
    <t>Calculate the average sales of all products.</t>
  </si>
  <si>
    <t>Calculate the average price of all products.</t>
  </si>
  <si>
    <t>Count how many products are available in the dataset.</t>
  </si>
  <si>
    <t>Calculate the total value of all product prices.</t>
  </si>
  <si>
    <t>Practice Questions</t>
  </si>
  <si>
    <t>Cell Range</t>
  </si>
  <si>
    <t>Name Range</t>
  </si>
  <si>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>: A Named Range is a custom name assigned to a cell or a group of cells (range) in Excel. It makes formulas easier to read, understand, and manage.</t>
    </r>
  </si>
  <si>
    <t>Data Consolidation</t>
  </si>
  <si>
    <t>What is Data Consolidation?</t>
  </si>
  <si>
    <t>It helps us create one report without manually copying and adding data.</t>
  </si>
  <si>
    <t>Definition: Data Consolidation is the process of combining data from multiple worksheets or multiple ranges into a single summary table.</t>
  </si>
  <si>
    <t>Mumbai</t>
  </si>
  <si>
    <t>Delhi</t>
  </si>
  <si>
    <t>Pune</t>
  </si>
  <si>
    <t>Insert a Table &amp; Style Options</t>
  </si>
  <si>
    <t>What is an Excel Table?</t>
  </si>
  <si>
    <t>Definition: An Excel Table is a structured range of data that automatically adds features like sorting, filtering, formatting, and automatic expansion when new data is added.</t>
  </si>
  <si>
    <t>It helps us organize and analyze data more efficiently.</t>
  </si>
  <si>
    <t>Why Do We Use an Excel Table?</t>
  </si>
  <si>
    <t>Organizes data in a structured format.</t>
  </si>
  <si>
    <t>Automatically adds filter buttons.</t>
  </si>
  <si>
    <t>Applies professional formatting.</t>
  </si>
  <si>
    <t>Expands automatically when new rows or columns are added.</t>
  </si>
  <si>
    <t>Makes formulas easier to use.</t>
  </si>
  <si>
    <t>Order Date</t>
  </si>
  <si>
    <t>Region</t>
  </si>
  <si>
    <t>O101</t>
  </si>
  <si>
    <t>O102</t>
  </si>
  <si>
    <t>O103</t>
  </si>
  <si>
    <t>O104</t>
  </si>
  <si>
    <t>O105</t>
  </si>
  <si>
    <t>O106</t>
  </si>
  <si>
    <t>O107</t>
  </si>
  <si>
    <t>O108</t>
  </si>
  <si>
    <r>
      <t xml:space="preserve">This dataset contains the </t>
    </r>
    <r>
      <rPr>
        <b/>
        <sz val="11"/>
        <color theme="1"/>
        <rFont val="Aptos Narrow"/>
        <family val="2"/>
        <scheme val="minor"/>
      </rPr>
      <t>sales records of an electronics company</t>
    </r>
    <r>
      <rPr>
        <sz val="11"/>
        <color theme="1"/>
        <rFont val="Aptos Narrow"/>
        <family val="2"/>
        <scheme val="minor"/>
      </rPr>
      <t xml:space="preserve">. Each row represents </t>
    </r>
    <r>
      <rPr>
        <b/>
        <sz val="11"/>
        <color theme="1"/>
        <rFont val="Aptos Narrow"/>
        <family val="2"/>
        <scheme val="minor"/>
      </rPr>
      <t>one sales transaction</t>
    </r>
    <r>
      <rPr>
        <sz val="11"/>
        <color theme="1"/>
        <rFont val="Aptos Narrow"/>
        <family val="2"/>
        <scheme val="minor"/>
      </rPr>
      <t>, and each column provides specific information about that transaction.</t>
    </r>
  </si>
  <si>
    <t>Question</t>
  </si>
  <si>
    <t>Formula Hint</t>
  </si>
  <si>
    <t>Quantity × Price</t>
  </si>
  <si>
    <t>Revenue × Discount %</t>
  </si>
  <si>
    <r>
      <t xml:space="preserve">Calculate </t>
    </r>
    <r>
      <rPr>
        <b/>
        <sz val="11"/>
        <color theme="1"/>
        <rFont val="Aptos Narrow"/>
        <family val="2"/>
        <scheme val="minor"/>
      </rPr>
      <t>Net Revenue (₹)</t>
    </r>
    <r>
      <rPr>
        <sz val="11"/>
        <color theme="1"/>
        <rFont val="Aptos Narrow"/>
        <family val="2"/>
        <scheme val="minor"/>
      </rPr>
      <t xml:space="preserve"> for each product.</t>
    </r>
  </si>
  <si>
    <t>Revenue − Discount Amount</t>
  </si>
  <si>
    <t>Calculate Revenue (₹) for each product.</t>
  </si>
  <si>
    <r>
      <t xml:space="preserve">Calculate </t>
    </r>
    <r>
      <rPr>
        <b/>
        <sz val="11"/>
        <color theme="1"/>
        <rFont val="Aptos Narrow"/>
        <family val="2"/>
        <scheme val="minor"/>
      </rPr>
      <t>Discount Amount (₹)</t>
    </r>
    <r>
      <rPr>
        <sz val="11"/>
        <color theme="1"/>
        <rFont val="Aptos Narrow"/>
        <family val="2"/>
        <scheme val="minor"/>
      </rPr>
      <t xml:space="preserve"> for each product.</t>
    </r>
  </si>
  <si>
    <t>Revenue</t>
  </si>
  <si>
    <t xml:space="preserve"> </t>
  </si>
  <si>
    <t>Why do we use it?</t>
  </si>
  <si>
    <t>Combines data from different sheets.</t>
  </si>
  <si>
    <t>Saves time.</t>
  </si>
  <si>
    <t>Avoids manual copy-paste.</t>
  </si>
  <si>
    <t>Creates one summary report.</t>
  </si>
  <si>
    <t>Steps to Perform Data Consolidation</t>
  </si>
  <si>
    <t>1. Select the output cell.</t>
  </si>
  <si>
    <r>
      <t xml:space="preserve">2. Go to 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Consolidate</t>
    </r>
    <r>
      <rPr>
        <sz val="11"/>
        <color theme="1"/>
        <rFont val="Aptos Narrow"/>
        <family val="2"/>
        <scheme val="minor"/>
      </rPr>
      <t>.</t>
    </r>
  </si>
  <si>
    <r>
      <t xml:space="preserve">3. Choose a </t>
    </r>
    <r>
      <rPr>
        <b/>
        <sz val="11"/>
        <color theme="1"/>
        <rFont val="Aptos Narrow"/>
        <family val="2"/>
        <scheme val="minor"/>
      </rPr>
      <t>Function</t>
    </r>
    <r>
      <rPr>
        <sz val="11"/>
        <color theme="1"/>
        <rFont val="Aptos Narrow"/>
        <family val="2"/>
        <scheme val="minor"/>
      </rPr>
      <t xml:space="preserve"> (e.g., Sum).</t>
    </r>
  </si>
  <si>
    <r>
      <t xml:space="preserve">4. Select the data range and click </t>
    </r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.</t>
    </r>
  </si>
  <si>
    <t>5. Repeat for all required ranges.</t>
  </si>
  <si>
    <r>
      <t xml:space="preserve">6. Select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(if needed).</t>
    </r>
  </si>
  <si>
    <r>
      <t xml:space="preserve">7. Click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</si>
  <si>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Functions available in Consolidate</t>
    </r>
    <r>
      <rPr>
        <sz val="11"/>
        <color theme="1"/>
        <rFont val="Aptos Narrow"/>
        <family val="2"/>
        <scheme val="minor"/>
      </rPr>
      <t xml:space="preserve"> : Sum , Average , Count , Max , Min , Product , Standard Deviation , Variance</t>
    </r>
  </si>
  <si>
    <t>Scenario</t>
  </si>
  <si>
    <r>
      <t xml:space="preserve">ABC Electronics has three branches: </t>
    </r>
    <r>
      <rPr>
        <b/>
        <sz val="11"/>
        <color theme="1"/>
        <rFont val="Aptos Narrow"/>
        <family val="2"/>
        <scheme val="minor"/>
      </rPr>
      <t>Mumbai, Delhi, and Pune</t>
    </r>
    <r>
      <rPr>
        <sz val="11"/>
        <color theme="1"/>
        <rFont val="Aptos Narrow"/>
        <family val="2"/>
        <scheme val="minor"/>
      </rPr>
      <t>. Each branch records its monthly sales in a separate worksheet. The Sales Manager wants a single report that combines the data from all branches.</t>
    </r>
  </si>
  <si>
    <t>Task</t>
  </si>
  <si>
    <r>
      <t xml:space="preserve">Use the </t>
    </r>
    <r>
      <rPr>
        <b/>
        <sz val="11"/>
        <color theme="1"/>
        <rFont val="Aptos Narrow"/>
        <family val="2"/>
        <scheme val="minor"/>
      </rPr>
      <t>Data Consolidation</t>
    </r>
    <r>
      <rPr>
        <sz val="11"/>
        <color theme="1"/>
        <rFont val="Aptos Narrow"/>
        <family val="2"/>
        <scheme val="minor"/>
      </rPr>
      <t xml:space="preserve"> feature to:</t>
    </r>
  </si>
  <si>
    <r>
      <t xml:space="preserve">1. Create a new worksheet named </t>
    </r>
    <r>
      <rPr>
        <b/>
        <sz val="11"/>
        <color theme="1"/>
        <rFont val="Aptos Narrow"/>
        <family val="2"/>
        <scheme val="minor"/>
      </rPr>
      <t>Summary</t>
    </r>
    <r>
      <rPr>
        <sz val="11"/>
        <color theme="1"/>
        <rFont val="Aptos Narrow"/>
        <family val="2"/>
        <scheme val="minor"/>
      </rPr>
      <t>.</t>
    </r>
  </si>
  <si>
    <r>
      <t xml:space="preserve">2. Use the </t>
    </r>
    <r>
      <rPr>
        <b/>
        <sz val="11"/>
        <color theme="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function.</t>
    </r>
  </si>
  <si>
    <t>3. Consolidate data from all three worksheets.</t>
  </si>
  <si>
    <r>
      <t xml:space="preserve">4. Include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while consolidating.</t>
    </r>
  </si>
  <si>
    <r>
      <t xml:space="preserve">5. Generate the final summary report showing the total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for each product.</t>
    </r>
  </si>
  <si>
    <t>Profit (₹)</t>
  </si>
  <si>
    <t xml:space="preserve">Note : </t>
  </si>
  <si>
    <t>Excel's Consolidate feature works only with a continuous range of data. If your dataset contains unnecessary columns, remove them or create a separate table before using Consolidate</t>
  </si>
  <si>
    <t>Advantages of Named Range:</t>
  </si>
  <si>
    <r>
      <t>Easy to Read:</t>
    </r>
    <r>
      <rPr>
        <sz val="11"/>
        <color theme="1"/>
        <rFont val="Aptos Narrow"/>
        <family val="2"/>
        <scheme val="minor"/>
      </rPr>
      <t xml:space="preserve"> Makes formulas simple and understandable.</t>
    </r>
  </si>
  <si>
    <r>
      <t>Easy to Manage:</t>
    </r>
    <r>
      <rPr>
        <sz val="11"/>
        <color theme="1"/>
        <rFont val="Aptos Narrow"/>
        <family val="2"/>
        <scheme val="minor"/>
      </rPr>
      <t xml:space="preserve"> Useful for working with large datasets.</t>
    </r>
  </si>
  <si>
    <r>
      <t>Simplifies Formulas:</t>
    </r>
    <r>
      <rPr>
        <sz val="11"/>
        <color theme="1"/>
        <rFont val="Aptos Narrow"/>
        <family val="2"/>
        <scheme val="minor"/>
      </rPr>
      <t xml:space="preserve"> Allows the use of meaningful names instead of cell references.</t>
    </r>
  </si>
  <si>
    <t>Sales</t>
  </si>
  <si>
    <t>Highest</t>
  </si>
  <si>
    <t>Lowest</t>
  </si>
  <si>
    <t>2nd Highest</t>
  </si>
  <si>
    <t>2nd Lowest</t>
  </si>
  <si>
    <t>LEN() : Returns the total number of characters in a text.</t>
  </si>
  <si>
    <t>LEFT() : Returns characters from the left side of a text.</t>
  </si>
  <si>
    <t>MID() : Returns characters from the middle of a text.</t>
  </si>
  <si>
    <t>UPPER()  : Converts text into uppercase.</t>
  </si>
  <si>
    <t>LOWER() : Converts text into lowercase.</t>
  </si>
  <si>
    <t>PROPER() : Capitalizes the first letter of every word.</t>
  </si>
  <si>
    <t>TRIM() : Removes extra spaces from text.</t>
  </si>
  <si>
    <t>RIGHT(): Returns characters from the right side.</t>
  </si>
  <si>
    <t>TEXTJOIN() : Joins text using a delimiter.</t>
  </si>
  <si>
    <t>TEXT() : Converts a number or date into a specific text format.</t>
  </si>
  <si>
    <t>FIND() : Finds the position of a character (case-sensitive).</t>
  </si>
  <si>
    <t>SEARCH() : Finds the position of text (not case-sensitive).</t>
  </si>
  <si>
    <t>SUBSTITUTE(): Replaces specific text.</t>
  </si>
  <si>
    <t>REPLACE() : Replaces text based on position.</t>
  </si>
  <si>
    <t>CONCAT() : Joins multiple text values into one.</t>
  </si>
  <si>
    <t>EXACT() : Checks whether two text values are exactly the same (case-sensitive).</t>
  </si>
  <si>
    <t xml:space="preserve">Question </t>
  </si>
  <si>
    <t>Employee ID</t>
  </si>
  <si>
    <t>Employee Name</t>
  </si>
  <si>
    <t>Department</t>
  </si>
  <si>
    <t>Email ID</t>
  </si>
  <si>
    <t>Joining Date</t>
  </si>
  <si>
    <t>Salary</t>
  </si>
  <si>
    <t>EMP101</t>
  </si>
  <si>
    <t>data analyst</t>
  </si>
  <si>
    <t>RAHUL SHARMA</t>
  </si>
  <si>
    <t>SALES</t>
  </si>
  <si>
    <t>EMP103</t>
  </si>
  <si>
    <t>priya singh</t>
  </si>
  <si>
    <t>Human resources</t>
  </si>
  <si>
    <t>ROHIT kumar</t>
  </si>
  <si>
    <t>finance</t>
  </si>
  <si>
    <t>EMP105</t>
  </si>
  <si>
    <t>Sneha GUPTA</t>
  </si>
  <si>
    <t>MARKETING</t>
  </si>
  <si>
    <t>amit verma</t>
  </si>
  <si>
    <t>IT support</t>
  </si>
  <si>
    <t>EMP107</t>
  </si>
  <si>
    <t>POOJA shah</t>
  </si>
  <si>
    <t>customer service</t>
  </si>
  <si>
    <t>vikas YADAV</t>
  </si>
  <si>
    <t>Operations</t>
  </si>
  <si>
    <t>EMP109</t>
  </si>
  <si>
    <t>Neha Singh</t>
  </si>
  <si>
    <t>ADMIN</t>
  </si>
  <si>
    <t>ARJUN mehta</t>
  </si>
  <si>
    <t>accounts</t>
  </si>
  <si>
    <t>Convert the Department column into uppercase</t>
  </si>
  <si>
    <t>Convert all Email IDs into lowercase.</t>
  </si>
  <si>
    <t>Convert all employee names into Proper Case.</t>
  </si>
  <si>
    <t>Remove all extra spaces from Employee Name.</t>
  </si>
  <si>
    <t>Combine Employee ID and Employee Name with a space.</t>
  </si>
  <si>
    <t>Join Employee ID, Employee Name, and Department using " - " as the separator.</t>
  </si>
  <si>
    <r>
      <t xml:space="preserve">Convert the Joining Date into the format </t>
    </r>
    <r>
      <rPr>
        <b/>
        <sz val="11"/>
        <color theme="1"/>
        <rFont val="Aptos Narrow"/>
        <family val="2"/>
        <scheme val="minor"/>
      </rPr>
      <t>Month Year</t>
    </r>
    <r>
      <rPr>
        <sz val="11"/>
        <color theme="1"/>
        <rFont val="Aptos Narrow"/>
        <family val="2"/>
        <scheme val="minor"/>
      </rPr>
      <t>.</t>
    </r>
  </si>
  <si>
    <r>
      <t xml:space="preserve">Find the position of </t>
    </r>
    <r>
      <rPr>
        <b/>
        <sz val="11"/>
        <color theme="1"/>
        <rFont val="Aptos Narrow"/>
        <family val="2"/>
        <scheme val="minor"/>
      </rPr>
      <t>@</t>
    </r>
    <r>
      <rPr>
        <sz val="11"/>
        <color theme="1"/>
        <rFont val="Aptos Narrow"/>
        <family val="2"/>
        <scheme val="minor"/>
      </rPr>
      <t xml:space="preserve"> in each Email ID.</t>
    </r>
  </si>
  <si>
    <r>
      <t xml:space="preserve">Find the position of the word </t>
    </r>
    <r>
      <rPr>
        <b/>
        <sz val="11"/>
        <color theme="1"/>
        <rFont val="Aptos Narrow"/>
        <family val="2"/>
        <scheme val="minor"/>
      </rPr>
      <t>company</t>
    </r>
    <r>
      <rPr>
        <sz val="11"/>
        <color theme="1"/>
        <rFont val="Aptos Narrow"/>
        <family val="2"/>
        <scheme val="minor"/>
      </rPr>
      <t xml:space="preserve"> in the Email ID.</t>
    </r>
  </si>
  <si>
    <t>Count the total number of characters in Employee Name.</t>
  </si>
  <si>
    <t>Extract the last three characters from Employee ID.</t>
  </si>
  <si>
    <t>Extract the 4th, 5th, and 6th characters from Employee ID.</t>
  </si>
  <si>
    <r>
      <t xml:space="preserve">Replace </t>
    </r>
    <r>
      <rPr>
        <b/>
        <sz val="11"/>
        <color theme="1"/>
        <rFont val="Aptos Narrow"/>
        <family val="2"/>
        <scheme val="minor"/>
      </rPr>
      <t>EMP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STAFF</t>
    </r>
    <r>
      <rPr>
        <sz val="11"/>
        <color theme="1"/>
        <rFont val="Aptos Narrow"/>
        <family val="2"/>
        <scheme val="minor"/>
      </rPr>
      <t xml:space="preserve"> using the REPLACE function.</t>
    </r>
  </si>
  <si>
    <r>
      <t xml:space="preserve">Compare the Department value with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using the EXACT function.</t>
    </r>
  </si>
  <si>
    <t>Text Split</t>
  </si>
  <si>
    <t>Year</t>
  </si>
  <si>
    <t xml:space="preserve">Text Function </t>
  </si>
  <si>
    <t>Date</t>
  </si>
  <si>
    <t>Day</t>
  </si>
  <si>
    <t>Day Name</t>
  </si>
  <si>
    <t>Month</t>
  </si>
  <si>
    <t>Month Name</t>
  </si>
  <si>
    <t>Month Year</t>
  </si>
  <si>
    <t>Abbreviated Month Name</t>
  </si>
  <si>
    <t>Abbreviated Day Name</t>
  </si>
  <si>
    <t>Short Year</t>
  </si>
  <si>
    <t>Find</t>
  </si>
  <si>
    <t>Explanation of Arguments</t>
  </si>
  <si>
    <t>Argument</t>
  </si>
  <si>
    <t>Meaning</t>
  </si>
  <si>
    <t>find_text</t>
  </si>
  <si>
    <t>The character or text you want to find.</t>
  </si>
  <si>
    <t>within_text</t>
  </si>
  <si>
    <t>The text in which you want to search.</t>
  </si>
  <si>
    <r>
      <t>start_num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</si>
  <si>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The position from which Excel should start searching. If omitted, Excel starts from position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.</t>
    </r>
  </si>
  <si>
    <t>FIND</t>
  </si>
  <si>
    <t>Search</t>
  </si>
  <si>
    <t>SEARCH</t>
  </si>
  <si>
    <t>The position from which Excel should start searching. If omitted, Excel starts from position 1.</t>
  </si>
  <si>
    <t>Length</t>
  </si>
  <si>
    <t>Substitue</t>
  </si>
  <si>
    <t>Extract the first Four characters from Employee ID.</t>
  </si>
  <si>
    <t xml:space="preserve">Left </t>
  </si>
  <si>
    <t>Right</t>
  </si>
  <si>
    <t>Replace</t>
  </si>
  <si>
    <t>Extact</t>
  </si>
  <si>
    <t>Text Functions</t>
  </si>
  <si>
    <r>
      <t xml:space="preserve">Replace </t>
    </r>
    <r>
      <rPr>
        <b/>
        <sz val="11"/>
        <color theme="1"/>
        <rFont val="Aptos Narrow"/>
        <family val="2"/>
        <scheme val="minor"/>
      </rPr>
      <t>abc.com</t>
    </r>
    <r>
      <rPr>
        <sz val="11"/>
        <color theme="1"/>
        <rFont val="Aptos Narrow"/>
        <family val="2"/>
        <scheme val="minor"/>
      </rPr>
      <t xml:space="preserve"> with company</t>
    </r>
    <r>
      <rPr>
        <b/>
        <sz val="11"/>
        <color theme="1"/>
        <rFont val="Aptos Narrow"/>
        <family val="2"/>
        <scheme val="minor"/>
      </rPr>
      <t>.com</t>
    </r>
    <r>
      <rPr>
        <sz val="11"/>
        <color theme="1"/>
        <rFont val="Aptos Narrow"/>
        <family val="2"/>
        <scheme val="minor"/>
      </rPr>
      <t xml:space="preserve"> in every email.</t>
    </r>
  </si>
  <si>
    <t>Amit.Verma@ABC.com</t>
  </si>
  <si>
    <t>RAHUL.SHARMA@ABC.com</t>
  </si>
  <si>
    <t>Priya.Singh@ABC.com</t>
  </si>
  <si>
    <t>ROHIT.KUMAR@ABC.com</t>
  </si>
  <si>
    <t>Sneha.Gupta@ABC.com</t>
  </si>
  <si>
    <t>ANKIT.MEHTA@ABC.com</t>
  </si>
  <si>
    <t>POOJA.SHAH@ABC.com</t>
  </si>
  <si>
    <t>Vikas.Yadav@ABC.com</t>
  </si>
  <si>
    <t>Neha.Singh@ABC.com</t>
  </si>
  <si>
    <t>ARJUN.MEHTA@ABC.com</t>
  </si>
  <si>
    <t>ANKIT MEHTA</t>
  </si>
  <si>
    <t>EMP7845</t>
  </si>
  <si>
    <t>EMP3261</t>
  </si>
  <si>
    <t>EMP9187</t>
  </si>
  <si>
    <t>EMP4523</t>
  </si>
  <si>
    <t>EMP6719</t>
  </si>
  <si>
    <t>EMP2058</t>
  </si>
  <si>
    <t>EMP8436</t>
  </si>
  <si>
    <t>EMP5972</t>
  </si>
  <si>
    <t>EMP1348</t>
  </si>
  <si>
    <t>EMP7604</t>
  </si>
  <si>
    <t>TEXTJOIN</t>
  </si>
  <si>
    <t>delimiter</t>
  </si>
  <si>
    <t>The character or text to insert between each text value (such as " ", ",", "-").</t>
  </si>
  <si>
    <t>Specifies whether to ignore blank cells. Use TRUE to ignore blank cells or FALSE to include them</t>
  </si>
  <si>
    <t>The first text value or cell to join.</t>
  </si>
  <si>
    <t>ignore_empty</t>
  </si>
  <si>
    <t>text1</t>
  </si>
  <si>
    <t>text2, text3, ... (Optional)</t>
  </si>
  <si>
    <t>Additional text values or cell references to join. You can include multiple text arguments.</t>
  </si>
  <si>
    <t>Difference between AutoFill and Flash Fill</t>
  </si>
  <si>
    <t>AutoFill</t>
  </si>
  <si>
    <t>Flash Fill</t>
  </si>
  <si>
    <t>Copies data or continues a pattern</t>
  </si>
  <si>
    <t>Extracts or combines data by recognizing an example</t>
  </si>
  <si>
    <t>Uses Fill Handle</t>
  </si>
  <si>
    <t>Works with numbers, dates, formulas, months</t>
  </si>
  <si>
    <t>Works with text patterns</t>
  </si>
  <si>
    <t>Mainly copies or extends</t>
  </si>
  <si>
    <t>Mainly transforms text</t>
  </si>
  <si>
    <t>Hint</t>
  </si>
  <si>
    <t>Q1. Generate serial numbers from 1 to 10 without typing every number manually.</t>
  </si>
  <si>
    <t>Number Series</t>
  </si>
  <si>
    <t>Q2. Generate odd numbers from 1 to 19 without typing every number.</t>
  </si>
  <si>
    <t>Odd Series</t>
  </si>
  <si>
    <t>Q3. Generate even numbers from 2 to 20 without typing every number.</t>
  </si>
  <si>
    <t>Even Series</t>
  </si>
  <si>
    <t>Q4. Generate multiples of 10 from 10 to 100 without typing every value.</t>
  </si>
  <si>
    <t>Pattern</t>
  </si>
  <si>
    <t>Q5. Generate dates for the next 10 days starting from 01-Jul-2026.</t>
  </si>
  <si>
    <t>Date Series</t>
  </si>
  <si>
    <t>Q6. Generate the names of all 12 months without typing each month.</t>
  </si>
  <si>
    <t>Month Series</t>
  </si>
  <si>
    <t>Q7. Generate the days of the week from Monday to Sunday automatically.</t>
  </si>
  <si>
    <t>Weekday Series</t>
  </si>
  <si>
    <t>Advantages of AutoFill</t>
  </si>
  <si>
    <t>Saves time by filling repetitive data automatically.</t>
  </si>
  <si>
    <t>Reduces manual typing.</t>
  </si>
  <si>
    <t>Minimizes typing errors.</t>
  </si>
  <si>
    <t>Automatically recognizes patterns (numbers, dates, months, weekdays, etc.).</t>
  </si>
  <si>
    <t>Copies formulas while adjusting cell references automatically.</t>
  </si>
  <si>
    <t>Increases productivity when working with large datasets.</t>
  </si>
  <si>
    <t>Questions</t>
  </si>
  <si>
    <r>
      <t>Q1.</t>
    </r>
    <r>
      <rPr>
        <sz val="11"/>
        <color theme="1"/>
        <rFont val="Aptos Narrow"/>
        <family val="2"/>
        <scheme val="minor"/>
      </rPr>
      <t xml:space="preserve"> Extract the first name from the full names.</t>
    </r>
  </si>
  <si>
    <r>
      <t>Q2.</t>
    </r>
    <r>
      <rPr>
        <sz val="11"/>
        <color theme="1"/>
        <rFont val="Aptos Narrow"/>
        <family val="2"/>
        <scheme val="minor"/>
      </rPr>
      <t xml:space="preserve"> Extract the last name from the full names.</t>
    </r>
  </si>
  <si>
    <r>
      <t>Q3.</t>
    </r>
    <r>
      <rPr>
        <sz val="11"/>
        <color theme="1"/>
        <rFont val="Aptos Narrow"/>
        <family val="2"/>
        <scheme val="minor"/>
      </rPr>
      <t xml:space="preserve"> Extract only the numbers from the employee IDs.</t>
    </r>
  </si>
  <si>
    <r>
      <t>Q4.</t>
    </r>
    <r>
      <rPr>
        <sz val="11"/>
        <color theme="1"/>
        <rFont val="Aptos Narrow"/>
        <family val="2"/>
        <scheme val="minor"/>
      </rPr>
      <t xml:space="preserve"> Extract the username from the email addresses.</t>
    </r>
  </si>
  <si>
    <t>Advantages of Flash Fill</t>
  </si>
  <si>
    <t>Extracts text without using formulas.</t>
  </si>
  <si>
    <t>Saves time by recognizing patterns automatically.</t>
  </si>
  <si>
    <t>Reduces manual editing and typing.</t>
  </si>
  <si>
    <t>Works with different text formats.</t>
  </si>
  <si>
    <t>Combines or splits text quickly.</t>
  </si>
  <si>
    <t>Cleans and formats data efficiently.</t>
  </si>
  <si>
    <t>Improves productivity when working with large datasets.</t>
  </si>
  <si>
    <t>Full Name</t>
  </si>
  <si>
    <t>First Name</t>
  </si>
  <si>
    <t>Rahul Sharma</t>
  </si>
  <si>
    <t>Priya Verma</t>
  </si>
  <si>
    <t>Aman Khan</t>
  </si>
  <si>
    <t>Neha Patel</t>
  </si>
  <si>
    <t>Rohan Gupta</t>
  </si>
  <si>
    <t>Sneha Singh</t>
  </si>
  <si>
    <t>Arjun Mehta</t>
  </si>
  <si>
    <t>Pooja Shah</t>
  </si>
  <si>
    <t>Mohit Jain</t>
  </si>
  <si>
    <t>Anjali Das</t>
  </si>
  <si>
    <t>Last Name</t>
  </si>
  <si>
    <t>Code</t>
  </si>
  <si>
    <t>EMP111</t>
  </si>
  <si>
    <t>EMP113</t>
  </si>
  <si>
    <t>EMP115</t>
  </si>
  <si>
    <t>EMP117</t>
  </si>
  <si>
    <t>EMP119</t>
  </si>
  <si>
    <t xml:space="preserve">Email </t>
  </si>
  <si>
    <t>rahul.sharma@company</t>
  </si>
  <si>
    <t>priya.verma@company</t>
  </si>
  <si>
    <t>aman.khan@company</t>
  </si>
  <si>
    <t>neha.patel@company</t>
  </si>
  <si>
    <t>rohan.gupta@company</t>
  </si>
  <si>
    <t>sneha.singh@company</t>
  </si>
  <si>
    <t>arjun.mehta@company</t>
  </si>
  <si>
    <t>pooja.shah@company</t>
  </si>
  <si>
    <t>mohit.jain@company</t>
  </si>
  <si>
    <t>anjali.das@company</t>
  </si>
  <si>
    <t>Username</t>
  </si>
  <si>
    <r>
      <rPr>
        <b/>
        <sz val="11"/>
        <color theme="1"/>
        <rFont val="Aptos Narrow"/>
        <family val="2"/>
        <scheme val="minor"/>
      </rPr>
      <t>Q5</t>
    </r>
    <r>
      <rPr>
        <sz val="11"/>
        <color theme="1"/>
        <rFont val="Aptos Narrow"/>
        <family val="2"/>
        <scheme val="minor"/>
      </rPr>
      <t>. Extract the initials from the full names.</t>
    </r>
  </si>
  <si>
    <t>Initials</t>
  </si>
  <si>
    <t>Custom List</t>
  </si>
  <si>
    <t>Definition  : A Custom List is a user-defined sequence of values that Excel can automatically fill using the Fill Handle.</t>
  </si>
  <si>
    <t>It is useful for frequently used names, departments, cities, product categories, employee levels, and more.</t>
  </si>
  <si>
    <t>Advantages of Custom List</t>
  </si>
  <si>
    <t>Reduces repetitive typing.</t>
  </si>
  <si>
    <t>Maintains consistent order.</t>
  </si>
  <si>
    <t>Improves productivity.</t>
  </si>
  <si>
    <t>Useful for reports and dashboards.</t>
  </si>
  <si>
    <t>Q1. Create a Custom List for the departments: HR, Finance, Sales, IT, and Marketing. Then use AutoFill to repeat the list.</t>
  </si>
  <si>
    <t>TEXTSPLIT() : Splits text into multiple cells using a specified delimiter.</t>
  </si>
  <si>
    <t>EMP-101</t>
  </si>
  <si>
    <t>EMP-102</t>
  </si>
  <si>
    <t>EMP-103</t>
  </si>
  <si>
    <t>EMP</t>
  </si>
  <si>
    <t>TEXTSPLIT</t>
  </si>
  <si>
    <t>text</t>
  </si>
  <si>
    <t>The text that you want to split.]</t>
  </si>
  <si>
    <t>The character that separates the text into columns (e.g., " ", ",", "-").</t>
  </si>
  <si>
    <t>col_delimiter</t>
  </si>
  <si>
    <t>row_delimiter (Optional)</t>
  </si>
  <si>
    <t>Splits text into multiple rows instead of columns.</t>
  </si>
  <si>
    <t>ignore_empty (Optional)</t>
  </si>
  <si>
    <t>match_mode (Optional)</t>
  </si>
  <si>
    <t>Specifies whether the delimiter match is case-sensitive or not</t>
  </si>
  <si>
    <t>pad_with (Optional)</t>
  </si>
  <si>
    <t>Fills missing values if the split results have different sizes.</t>
  </si>
  <si>
    <t>It saves time and reduces manual typing.</t>
  </si>
  <si>
    <t>Definition : AutoFill automatically fills cells with data, formulas, numbers, dates, or patterns.</t>
  </si>
  <si>
    <t>Definition : Flash Fill automatically fills data by recognizing the format or pattern from an example provided by the user.</t>
  </si>
  <si>
    <t>It automatically extracts, combines, or formats data by recognizing patterns, without using formulas</t>
  </si>
  <si>
    <t>HR</t>
  </si>
  <si>
    <t>Aisha Khan</t>
  </si>
  <si>
    <t>Finance</t>
  </si>
  <si>
    <t>IT</t>
  </si>
  <si>
    <t>Arjun Verma</t>
  </si>
  <si>
    <t>Marketing</t>
  </si>
  <si>
    <t>Priya Singh</t>
  </si>
  <si>
    <t>Admin</t>
  </si>
  <si>
    <t>Karan Mehta</t>
  </si>
  <si>
    <t>Support</t>
  </si>
  <si>
    <t>Sneha Gupta</t>
  </si>
  <si>
    <t>Rohit Das</t>
  </si>
  <si>
    <t>Legal</t>
  </si>
  <si>
    <t>Pooja Nair</t>
  </si>
  <si>
    <t>Purchase</t>
  </si>
  <si>
    <t>Aman Joshi</t>
  </si>
  <si>
    <t>TechZone Electronics is offering a flat 10% discount on all products. Calculate the Discount Amount for each product using the provided discount rate.</t>
  </si>
  <si>
    <t>Reference</t>
  </si>
  <si>
    <t>Column</t>
  </si>
  <si>
    <t>Row</t>
  </si>
  <si>
    <t>$A1</t>
  </si>
  <si>
    <t>Column is fixed, Row changes.</t>
  </si>
  <si>
    <t>The column remains fixed.</t>
  </si>
  <si>
    <t>The row changes when the formula is copied.</t>
  </si>
  <si>
    <t>A$1</t>
  </si>
  <si>
    <t>Row is fixed, Column changes.</t>
  </si>
  <si>
    <t>The column changes when the formula is copied.</t>
  </si>
  <si>
    <t>The row remains fixed.</t>
  </si>
  <si>
    <r>
      <t>$A</t>
    </r>
    <r>
      <rPr>
        <sz val="11"/>
        <color theme="1"/>
        <rFont val="Aptos Narrow"/>
        <family val="2"/>
        <scheme val="minor"/>
      </rPr>
      <t xml:space="preserve"> → Column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fixed.</t>
    </r>
  </si>
  <si>
    <r>
      <t>1</t>
    </r>
    <r>
      <rPr>
        <sz val="11"/>
        <color theme="1"/>
        <rFont val="Aptos Narrow"/>
        <family val="2"/>
        <scheme val="minor"/>
      </rPr>
      <t xml:space="preserve"> → Row number changes when the formula is copied.</t>
    </r>
  </si>
  <si>
    <r>
      <t>A</t>
    </r>
    <r>
      <rPr>
        <sz val="11"/>
        <color theme="1"/>
        <rFont val="Aptos Narrow"/>
        <family val="2"/>
        <scheme val="minor"/>
      </rPr>
      <t xml:space="preserve"> → Column changes when the formula is copied.</t>
    </r>
  </si>
  <si>
    <r>
      <t>$1</t>
    </r>
    <r>
      <rPr>
        <sz val="11"/>
        <color theme="1"/>
        <rFont val="Aptos Narrow"/>
        <family val="2"/>
        <scheme val="minor"/>
      </rPr>
      <t xml:space="preserve"> → Row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is fixed.</t>
    </r>
  </si>
  <si>
    <r>
      <rPr>
        <b/>
        <sz val="12"/>
        <color theme="1"/>
        <rFont val="Aptos Narrow"/>
        <family val="2"/>
        <scheme val="minor"/>
      </rPr>
      <t>Definition: :</t>
    </r>
    <r>
      <rPr>
        <sz val="11"/>
        <color theme="1"/>
        <rFont val="Aptos Narrow"/>
        <family val="2"/>
        <scheme val="minor"/>
      </rPr>
      <t xml:space="preserve"> A cell range is a group of two or more cells in a worksheet. A range is identified by the address of the first cell and the last cell, separated by a colon (:)</t>
    </r>
  </si>
  <si>
    <r>
      <t>Saves Time:</t>
    </r>
    <r>
      <rPr>
        <sz val="11"/>
        <color theme="1"/>
        <rFont val="Aptos Narrow"/>
        <family val="2"/>
        <scheme val="minor"/>
      </rPr>
      <t xml:space="preserve"> Avoids selecting the same range multiple times.</t>
    </r>
  </si>
  <si>
    <r>
      <t>Reduces Errors:</t>
    </r>
    <r>
      <rPr>
        <sz val="11"/>
        <color theme="1"/>
        <rFont val="Aptos Narrow"/>
        <family val="2"/>
        <scheme val="minor"/>
      </rPr>
      <t xml:space="preserve"> Minimizes the chances of selecting an incorrect cell range.</t>
    </r>
  </si>
  <si>
    <r>
      <t>Shortcut: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Ctrl + T</t>
    </r>
    <r>
      <rPr>
        <sz val="11"/>
        <color theme="1"/>
        <rFont val="Aptos Narrow"/>
        <family val="2"/>
        <scheme val="minor"/>
      </rPr>
      <t xml:space="preserve"> – Converts the selected data range into an Excel Table.</t>
    </r>
  </si>
  <si>
    <t>Your task is to clean, format, combine, extract, and compare text values using Excel Text Functions to prepare a standardized employee database.</t>
  </si>
  <si>
    <r>
      <t xml:space="preserve">You are working as an </t>
    </r>
    <r>
      <rPr>
        <b/>
        <sz val="11"/>
        <color theme="1"/>
        <rFont val="Aptos Narrow"/>
        <family val="2"/>
        <scheme val="minor"/>
      </rPr>
      <t>HR Data Analyst</t>
    </r>
    <r>
      <rPr>
        <sz val="11"/>
        <color theme="1"/>
        <rFont val="Aptos Narrow"/>
        <family val="2"/>
        <scheme val="minor"/>
      </rPr>
      <t xml:space="preserve">. The HR department has shared employee records that contain inconsistent text formatting. </t>
    </r>
  </si>
  <si>
    <r>
      <rPr>
        <b/>
        <sz val="11"/>
        <color theme="1"/>
        <rFont val="Aptos Narrow"/>
        <family val="2"/>
        <scheme val="minor"/>
      </rPr>
      <t>Q6</t>
    </r>
    <r>
      <rPr>
        <sz val="11"/>
        <color theme="1"/>
        <rFont val="Aptos Narrow"/>
        <family val="2"/>
        <scheme val="minor"/>
      </rPr>
      <t>. Create a new column named "Emp Code" by combining the Department and Employee ID using Flash Fill.</t>
    </r>
  </si>
  <si>
    <t>Emp Code</t>
  </si>
  <si>
    <t>Q2. Create a Custom List for the employee levels: Intern, Trainee, Associate, Senior Associate, Manager.</t>
  </si>
  <si>
    <t>Level</t>
  </si>
  <si>
    <t>Uses Ctrl + E or Home → Flash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</si>
</sst>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3.5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0" xfId="0" applyFont="1" applyFill="1"/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9" fontId="0" fillId="0" borderId="1" xfId="0" applyNumberForma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2" borderId="0" xfId="0" applyFont="1" applyFill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15" fontId="0" fillId="0" borderId="1" xfId="0" applyNumberForma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3" fontId="0" fillId="0" borderId="1" xfId="0" applyNumberFormat="1" applyBorder="1"/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5" fontId="0" fillId="0" borderId="1" xfId="0" applyNumberFormat="1" applyBorder="1"/>
    <xf numFmtId="0" fontId="11" fillId="0" borderId="0" xfId="0" applyFont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21" fillId="0" borderId="0" xfId="0" applyFont="1"/>
    <xf numFmtId="0" fontId="18" fillId="2" borderId="0" xfId="0" applyFont="1" applyFill="1"/>
    <xf numFmtId="0" fontId="14" fillId="2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3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16" fillId="0" borderId="0" xfId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3067E-B82E-4422-B8FB-4D62AE73ECB8}" name="Orders" displayName="Orders" ref="B59:H67" totalsRowShown="0" headerRowDxfId="35" dataDxfId="33" headerRowBorderDxfId="34" tableBorderDxfId="32" totalsRowBorderDxfId="31">
  <tableColumns count="7">
    <tableColumn id="1" xr3:uid="{B3AE5C00-BDE8-4C08-B873-97109FA50C1F}" name="Order ID" dataDxfId="30"/>
    <tableColumn id="2" xr3:uid="{DCAC6C3A-A581-476E-B31F-AC589BC24710}" name="Order Date" dataDxfId="29"/>
    <tableColumn id="3" xr3:uid="{00D7123A-F217-4554-B2B6-8EE9472246A9}" name="Product" dataDxfId="28"/>
    <tableColumn id="4" xr3:uid="{9C5C84D9-C5B9-4E89-BC9F-3942BD5F33A2}" name="Category" dataDxfId="27"/>
    <tableColumn id="5" xr3:uid="{6D937490-42ED-4B41-8E66-D3AC2FFA5910}" name="Region" dataDxfId="26"/>
    <tableColumn id="6" xr3:uid="{8443F4C2-8F2C-458A-98C9-8C06DF9471E6}" name="Quantity" dataDxfId="25"/>
    <tableColumn id="7" xr3:uid="{37897AD0-BC5A-4465-8E99-A626C8BB6BBF}" name="Price (₹)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A2860-B25A-445A-9B93-D97748A578AC}" name="Orders2" displayName="Orders2" ref="B73:H81" totalsRowShown="0" headerRowDxfId="23" dataDxfId="21" headerRowBorderDxfId="22" tableBorderDxfId="20" totalsRowBorderDxfId="19">
  <tableColumns count="7">
    <tableColumn id="1" xr3:uid="{45F52681-FCC0-4BCE-A453-D10D74099CE5}" name="Order ID" dataDxfId="18"/>
    <tableColumn id="2" xr3:uid="{E6F161EF-EFA9-4B69-B4A6-9B7CBE1C666B}" name="Order Date" dataDxfId="17"/>
    <tableColumn id="3" xr3:uid="{CCCB9554-A857-4BD8-8E03-2029FDBA6A45}" name="Product" dataDxfId="16"/>
    <tableColumn id="4" xr3:uid="{95DEB787-D708-4D98-8752-825524C1F040}" name="Category" dataDxfId="15"/>
    <tableColumn id="5" xr3:uid="{D0288BD0-7992-4643-900C-115788679232}" name="Region" dataDxfId="14"/>
    <tableColumn id="6" xr3:uid="{76D18F4E-078E-4037-9374-0BA2CFA7E89D}" name="Quantity" dataDxfId="13"/>
    <tableColumn id="7" xr3:uid="{344FC0B8-4E01-4D87-BC1E-3C72F8EA2E52}" name="Price (₹)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E12D12-8F3D-4AEB-A51B-E6B06D0CC57E}" name="Orders24" displayName="Orders24" ref="B88:H96" totalsRowShown="0" headerRowDxfId="11" dataDxfId="9" headerRowBorderDxfId="10" tableBorderDxfId="8" totalsRowBorderDxfId="7">
  <tableColumns count="7">
    <tableColumn id="1" xr3:uid="{C738E66E-5309-4B69-BA6C-0897265ADEFC}" name="Order ID" dataDxfId="6"/>
    <tableColumn id="2" xr3:uid="{4136A90B-8910-4481-BE7E-919864B2063E}" name="Order Date" dataDxfId="5"/>
    <tableColumn id="3" xr3:uid="{8F038A19-B922-4347-B765-B072C9487586}" name="Product" dataDxfId="4"/>
    <tableColumn id="4" xr3:uid="{248FD73F-337E-4502-9E96-D53BD67AB051}" name="Category" dataDxfId="3"/>
    <tableColumn id="5" xr3:uid="{156280B1-0ECD-43B5-9A15-FAFB67087B6C}" name="Region" dataDxfId="2"/>
    <tableColumn id="6" xr3:uid="{4E12A4F1-8075-40A8-AE2F-FD3B485D7DE4}" name="Quantity" dataDxfId="1"/>
    <tableColumn id="7" xr3:uid="{8CD772BF-8FFE-49B5-A558-077A264F21B3}" name="Price (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Yadav@ABC.com" TargetMode="External"/><Relationship Id="rId3" Type="http://schemas.openxmlformats.org/officeDocument/2006/relationships/hyperlink" Target="mailto:Priya.Singh@ABC.com" TargetMode="External"/><Relationship Id="rId7" Type="http://schemas.openxmlformats.org/officeDocument/2006/relationships/hyperlink" Target="mailto:POOJA.SHAH@ABC.com" TargetMode="External"/><Relationship Id="rId2" Type="http://schemas.openxmlformats.org/officeDocument/2006/relationships/hyperlink" Target="mailto:RAHUL.SHARMA@ABC.com" TargetMode="External"/><Relationship Id="rId1" Type="http://schemas.openxmlformats.org/officeDocument/2006/relationships/hyperlink" Target="mailto:Amit.Verma@ABC.com" TargetMode="External"/><Relationship Id="rId6" Type="http://schemas.openxmlformats.org/officeDocument/2006/relationships/hyperlink" Target="mailto:ANKIT.MEHTA@ABC.com" TargetMode="External"/><Relationship Id="rId5" Type="http://schemas.openxmlformats.org/officeDocument/2006/relationships/hyperlink" Target="mailto:Sneha.Gupta@ABC.com" TargetMode="External"/><Relationship Id="rId10" Type="http://schemas.openxmlformats.org/officeDocument/2006/relationships/hyperlink" Target="mailto:ARJUN.MEHTA@ABC.com" TargetMode="External"/><Relationship Id="rId4" Type="http://schemas.openxmlformats.org/officeDocument/2006/relationships/hyperlink" Target="mailto:ROHIT.KUMAR@ABC.com" TargetMode="External"/><Relationship Id="rId9" Type="http://schemas.openxmlformats.org/officeDocument/2006/relationships/hyperlink" Target="mailto:Neha.Singh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F0A1-4D8D-4982-A5BB-2365D64930A2}">
  <dimension ref="A1:P130"/>
  <sheetViews>
    <sheetView topLeftCell="A31" zoomScale="110" zoomScaleNormal="110" workbookViewId="0">
      <selection activeCell="H32" sqref="H32:N38"/>
    </sheetView>
  </sheetViews>
  <sheetFormatPr defaultRowHeight="15" x14ac:dyDescent="0.25"/>
  <cols>
    <col min="1" max="1" width="12.85546875" customWidth="1"/>
    <col min="2" max="2" width="19.140625" customWidth="1"/>
    <col min="3" max="3" width="22.28515625" customWidth="1"/>
    <col min="4" max="4" width="29.28515625" customWidth="1"/>
    <col min="5" max="5" width="14.5703125" customWidth="1"/>
    <col min="6" max="6" width="20.7109375" customWidth="1"/>
    <col min="7" max="7" width="22.7109375" customWidth="1"/>
    <col min="8" max="8" width="19" customWidth="1"/>
    <col min="9" max="9" width="25.5703125" customWidth="1"/>
    <col min="12" max="12" width="43.5703125" customWidth="1"/>
    <col min="13" max="13" width="21.28515625" customWidth="1"/>
    <col min="14" max="14" width="19.7109375" customWidth="1"/>
  </cols>
  <sheetData>
    <row r="1" spans="1:8" ht="18.75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0" t="s">
        <v>37</v>
      </c>
      <c r="C3" s="2"/>
      <c r="D3" s="2"/>
      <c r="E3" s="2"/>
      <c r="F3" s="2"/>
    </row>
    <row r="4" spans="1:8" x14ac:dyDescent="0.25">
      <c r="C4" s="1"/>
      <c r="D4" s="1"/>
      <c r="E4" s="1"/>
      <c r="F4" s="1"/>
    </row>
    <row r="5" spans="1:8" ht="18.75" x14ac:dyDescent="0.25">
      <c r="C5" s="1"/>
      <c r="D5" s="11" t="s">
        <v>1</v>
      </c>
      <c r="E5" s="11" t="s">
        <v>2</v>
      </c>
      <c r="F5" s="11" t="s">
        <v>38</v>
      </c>
      <c r="G5" s="11" t="s">
        <v>39</v>
      </c>
    </row>
    <row r="6" spans="1:8" x14ac:dyDescent="0.25">
      <c r="C6" s="1"/>
      <c r="D6" s="9" t="s">
        <v>4</v>
      </c>
      <c r="E6" s="9">
        <v>1</v>
      </c>
      <c r="F6" s="9">
        <v>70000</v>
      </c>
      <c r="G6" s="9">
        <f>F6*E6</f>
        <v>70000</v>
      </c>
    </row>
    <row r="7" spans="1:8" x14ac:dyDescent="0.25">
      <c r="C7" s="1"/>
      <c r="D7" s="9" t="s">
        <v>5</v>
      </c>
      <c r="E7" s="9">
        <v>5</v>
      </c>
      <c r="F7" s="9">
        <v>600</v>
      </c>
      <c r="G7" s="9">
        <f t="shared" ref="G7:G15" si="0">F7*E7</f>
        <v>3000</v>
      </c>
    </row>
    <row r="8" spans="1:8" x14ac:dyDescent="0.25">
      <c r="C8" s="1"/>
      <c r="D8" s="9" t="s">
        <v>6</v>
      </c>
      <c r="E8" s="9">
        <v>3</v>
      </c>
      <c r="F8" s="9">
        <v>1200</v>
      </c>
      <c r="G8" s="9">
        <f t="shared" si="0"/>
        <v>3600</v>
      </c>
    </row>
    <row r="9" spans="1:8" x14ac:dyDescent="0.25">
      <c r="C9" s="1"/>
      <c r="D9" s="9" t="s">
        <v>7</v>
      </c>
      <c r="E9" s="9">
        <v>4</v>
      </c>
      <c r="F9" s="9">
        <v>15000</v>
      </c>
      <c r="G9" s="9">
        <f t="shared" si="0"/>
        <v>60000</v>
      </c>
    </row>
    <row r="10" spans="1:8" x14ac:dyDescent="0.25">
      <c r="C10" s="1"/>
      <c r="D10" s="9" t="s">
        <v>26</v>
      </c>
      <c r="E10" s="9">
        <v>2</v>
      </c>
      <c r="F10" s="9">
        <v>8500</v>
      </c>
      <c r="G10" s="9">
        <f t="shared" si="0"/>
        <v>17000</v>
      </c>
    </row>
    <row r="11" spans="1:8" x14ac:dyDescent="0.25">
      <c r="C11" s="1"/>
      <c r="D11" s="9" t="s">
        <v>40</v>
      </c>
      <c r="E11" s="9">
        <v>10</v>
      </c>
      <c r="F11" s="9">
        <v>700</v>
      </c>
      <c r="G11" s="9">
        <f t="shared" si="0"/>
        <v>7000</v>
      </c>
    </row>
    <row r="12" spans="1:8" x14ac:dyDescent="0.25">
      <c r="C12" s="1"/>
      <c r="D12" s="9" t="s">
        <v>28</v>
      </c>
      <c r="E12" s="9">
        <v>6</v>
      </c>
      <c r="F12" s="9">
        <v>2500</v>
      </c>
      <c r="G12" s="9">
        <f t="shared" si="0"/>
        <v>15000</v>
      </c>
    </row>
    <row r="13" spans="1:8" x14ac:dyDescent="0.25">
      <c r="C13" s="1"/>
      <c r="D13" s="9" t="s">
        <v>41</v>
      </c>
      <c r="E13" s="9">
        <v>8</v>
      </c>
      <c r="F13" s="9">
        <v>1800</v>
      </c>
      <c r="G13" s="9">
        <f t="shared" si="0"/>
        <v>14400</v>
      </c>
    </row>
    <row r="14" spans="1:8" x14ac:dyDescent="0.25">
      <c r="D14" s="9" t="s">
        <v>32</v>
      </c>
      <c r="E14" s="9">
        <v>5</v>
      </c>
      <c r="F14" s="9">
        <v>4200</v>
      </c>
      <c r="G14" s="9">
        <f t="shared" si="0"/>
        <v>21000</v>
      </c>
    </row>
    <row r="15" spans="1:8" x14ac:dyDescent="0.25">
      <c r="D15" s="9" t="s">
        <v>34</v>
      </c>
      <c r="E15" s="9">
        <v>7</v>
      </c>
      <c r="F15" s="9">
        <v>3500</v>
      </c>
      <c r="G15" s="9">
        <f t="shared" si="0"/>
        <v>24500</v>
      </c>
    </row>
    <row r="17" spans="1:14" x14ac:dyDescent="0.25">
      <c r="A17" s="10" t="s">
        <v>46</v>
      </c>
      <c r="G17" s="17" t="s">
        <v>50</v>
      </c>
    </row>
    <row r="18" spans="1:14" x14ac:dyDescent="0.25">
      <c r="A18" s="10" t="s">
        <v>47</v>
      </c>
      <c r="G18" s="15">
        <f>SUM(G6:G15)</f>
        <v>235500</v>
      </c>
    </row>
    <row r="19" spans="1:14" x14ac:dyDescent="0.25">
      <c r="A19" s="10" t="s">
        <v>42</v>
      </c>
      <c r="G19" s="15">
        <f>MAX(G6:G15)</f>
        <v>70000</v>
      </c>
    </row>
    <row r="20" spans="1:14" x14ac:dyDescent="0.25">
      <c r="A20" s="10" t="s">
        <v>43</v>
      </c>
      <c r="G20" s="15">
        <f>MIN(G6:G15)</f>
        <v>3000</v>
      </c>
    </row>
    <row r="21" spans="1:14" x14ac:dyDescent="0.25">
      <c r="A21" s="10" t="s">
        <v>44</v>
      </c>
      <c r="G21" s="15">
        <f>COUNT(G6:G15)</f>
        <v>10</v>
      </c>
    </row>
    <row r="22" spans="1:14" x14ac:dyDescent="0.25">
      <c r="A22" s="10" t="s">
        <v>45</v>
      </c>
      <c r="G22" s="15">
        <f>SUM(E6:E15)</f>
        <v>51</v>
      </c>
    </row>
    <row r="26" spans="1:14" ht="18.75" x14ac:dyDescent="0.3">
      <c r="A26" s="13" t="s">
        <v>8</v>
      </c>
      <c r="B26" s="13"/>
      <c r="C26" s="14"/>
      <c r="D26" s="14"/>
      <c r="E26" s="14"/>
      <c r="F26" s="14"/>
      <c r="G26" s="14"/>
      <c r="H26" s="14"/>
    </row>
    <row r="28" spans="1:14" x14ac:dyDescent="0.25">
      <c r="A28" s="10" t="s">
        <v>48</v>
      </c>
    </row>
    <row r="29" spans="1:14" x14ac:dyDescent="0.25">
      <c r="A29" s="10" t="s">
        <v>49</v>
      </c>
    </row>
    <row r="32" spans="1:14" x14ac:dyDescent="0.25">
      <c r="C32" s="15">
        <v>10</v>
      </c>
      <c r="D32" s="15">
        <v>20</v>
      </c>
      <c r="E32" s="15">
        <v>30</v>
      </c>
      <c r="F32" s="15">
        <v>40</v>
      </c>
      <c r="H32" s="26" t="s">
        <v>68</v>
      </c>
      <c r="I32" s="26" t="s">
        <v>1</v>
      </c>
      <c r="J32" s="26" t="s">
        <v>69</v>
      </c>
      <c r="K32" s="26" t="s">
        <v>3</v>
      </c>
      <c r="L32" s="26" t="s">
        <v>70</v>
      </c>
      <c r="M32" s="26" t="s">
        <v>71</v>
      </c>
      <c r="N32" s="26" t="s">
        <v>72</v>
      </c>
    </row>
    <row r="33" spans="1:16" x14ac:dyDescent="0.25">
      <c r="H33" s="16">
        <v>1</v>
      </c>
      <c r="I33" s="16" t="s">
        <v>73</v>
      </c>
      <c r="J33" s="16">
        <v>12</v>
      </c>
      <c r="K33" s="16">
        <v>650</v>
      </c>
      <c r="L33" s="16">
        <v>7800</v>
      </c>
      <c r="M33" s="16">
        <v>1404</v>
      </c>
      <c r="N33" s="16">
        <f>L33+M33</f>
        <v>9204</v>
      </c>
    </row>
    <row r="34" spans="1:16" x14ac:dyDescent="0.25">
      <c r="C34" s="16" t="s">
        <v>67</v>
      </c>
      <c r="D34" s="16">
        <f>SUM(C32,D32,E32,F32)</f>
        <v>100</v>
      </c>
      <c r="H34" s="16">
        <v>2</v>
      </c>
      <c r="I34" s="16" t="s">
        <v>74</v>
      </c>
      <c r="J34" s="16">
        <v>10</v>
      </c>
      <c r="K34" s="16">
        <v>750</v>
      </c>
      <c r="L34" s="16">
        <v>7500</v>
      </c>
      <c r="M34" s="16">
        <v>1350</v>
      </c>
      <c r="N34" s="16">
        <f t="shared" ref="N34:N37" si="1">L34+M34</f>
        <v>8850</v>
      </c>
    </row>
    <row r="35" spans="1:16" x14ac:dyDescent="0.25">
      <c r="H35" s="16">
        <v>3</v>
      </c>
      <c r="I35" s="16" t="s">
        <v>75</v>
      </c>
      <c r="J35" s="16">
        <v>6</v>
      </c>
      <c r="K35" s="16">
        <v>850</v>
      </c>
      <c r="L35" s="16">
        <v>5100</v>
      </c>
      <c r="M35" s="16">
        <v>918</v>
      </c>
      <c r="N35" s="16">
        <f t="shared" si="1"/>
        <v>6018</v>
      </c>
    </row>
    <row r="36" spans="1:16" x14ac:dyDescent="0.25">
      <c r="D36" s="10"/>
      <c r="H36" s="16">
        <v>4</v>
      </c>
      <c r="I36" s="16" t="s">
        <v>76</v>
      </c>
      <c r="J36" s="16">
        <v>9</v>
      </c>
      <c r="K36" s="16">
        <v>450</v>
      </c>
      <c r="L36" s="16">
        <v>4050</v>
      </c>
      <c r="M36" s="16">
        <v>729</v>
      </c>
      <c r="N36" s="16">
        <f t="shared" si="1"/>
        <v>4779</v>
      </c>
      <c r="P36">
        <f>M34+L33</f>
        <v>9150</v>
      </c>
    </row>
    <row r="37" spans="1:16" x14ac:dyDescent="0.25">
      <c r="H37" s="16">
        <v>5</v>
      </c>
      <c r="I37" s="16" t="s">
        <v>77</v>
      </c>
      <c r="J37" s="16">
        <v>10</v>
      </c>
      <c r="K37" s="16">
        <v>350</v>
      </c>
      <c r="L37" s="16">
        <v>3500</v>
      </c>
      <c r="M37" s="16">
        <v>630</v>
      </c>
      <c r="N37" s="16">
        <f t="shared" si="1"/>
        <v>4130</v>
      </c>
    </row>
    <row r="38" spans="1:16" x14ac:dyDescent="0.25">
      <c r="M38" s="16" t="s">
        <v>78</v>
      </c>
      <c r="N38" s="16">
        <f>SUM(N33:N37)</f>
        <v>32981</v>
      </c>
    </row>
    <row r="44" spans="1:16" ht="18.75" x14ac:dyDescent="0.3">
      <c r="A44" s="13" t="s">
        <v>11</v>
      </c>
      <c r="B44" s="13"/>
      <c r="C44" s="14"/>
      <c r="D44" s="14"/>
      <c r="E44" s="14"/>
      <c r="F44" s="14"/>
      <c r="G44" s="14"/>
      <c r="H44" s="14"/>
    </row>
    <row r="46" spans="1:16" x14ac:dyDescent="0.25">
      <c r="A46" t="s">
        <v>9</v>
      </c>
    </row>
    <row r="47" spans="1:16" x14ac:dyDescent="0.25">
      <c r="A47" s="6" t="s">
        <v>10</v>
      </c>
    </row>
    <row r="48" spans="1:16" x14ac:dyDescent="0.25">
      <c r="A48" s="6"/>
    </row>
    <row r="49" spans="1:8" x14ac:dyDescent="0.25">
      <c r="A49" t="s">
        <v>12</v>
      </c>
    </row>
    <row r="50" spans="1:8" x14ac:dyDescent="0.25">
      <c r="A50" s="6" t="s">
        <v>13</v>
      </c>
    </row>
    <row r="51" spans="1:8" x14ac:dyDescent="0.25">
      <c r="A51" s="6" t="s">
        <v>14</v>
      </c>
    </row>
    <row r="52" spans="1:8" x14ac:dyDescent="0.25">
      <c r="A52" s="6" t="s">
        <v>15</v>
      </c>
    </row>
    <row r="55" spans="1:8" ht="18.75" x14ac:dyDescent="0.3">
      <c r="A55" s="13" t="s">
        <v>16</v>
      </c>
      <c r="B55" s="13"/>
      <c r="C55" s="14"/>
      <c r="D55" s="14"/>
      <c r="E55" s="14"/>
      <c r="F55" s="14"/>
      <c r="G55" s="14"/>
      <c r="H55" s="14"/>
    </row>
    <row r="58" spans="1:8" ht="18.75" x14ac:dyDescent="0.25">
      <c r="C58" s="2"/>
      <c r="D58" s="11" t="s">
        <v>17</v>
      </c>
      <c r="E58" s="11" t="s">
        <v>1</v>
      </c>
      <c r="F58" s="11" t="s">
        <v>18</v>
      </c>
      <c r="G58" s="11" t="s">
        <v>19</v>
      </c>
      <c r="H58" s="11" t="s">
        <v>20</v>
      </c>
    </row>
    <row r="59" spans="1:8" x14ac:dyDescent="0.25">
      <c r="C59" s="5"/>
      <c r="D59" s="9" t="s">
        <v>21</v>
      </c>
      <c r="E59" s="9" t="s">
        <v>4</v>
      </c>
      <c r="F59" s="9">
        <v>2</v>
      </c>
      <c r="G59" s="9">
        <v>50000</v>
      </c>
      <c r="H59" s="9">
        <f>G59*F59</f>
        <v>100000</v>
      </c>
    </row>
    <row r="60" spans="1:8" x14ac:dyDescent="0.25">
      <c r="C60" s="5"/>
      <c r="D60" s="9" t="s">
        <v>22</v>
      </c>
      <c r="E60" s="9" t="s">
        <v>5</v>
      </c>
      <c r="F60" s="9">
        <v>5</v>
      </c>
      <c r="G60" s="9">
        <v>600</v>
      </c>
      <c r="H60" s="9">
        <f t="shared" ref="H60:H68" si="2">G60*F60</f>
        <v>3000</v>
      </c>
    </row>
    <row r="61" spans="1:8" ht="17.25" customHeight="1" x14ac:dyDescent="0.25">
      <c r="C61" s="5"/>
      <c r="D61" s="9" t="s">
        <v>23</v>
      </c>
      <c r="E61" s="9" t="s">
        <v>6</v>
      </c>
      <c r="F61" s="9">
        <v>3</v>
      </c>
      <c r="G61" s="9">
        <v>1200</v>
      </c>
      <c r="H61" s="9">
        <f t="shared" si="2"/>
        <v>3600</v>
      </c>
    </row>
    <row r="62" spans="1:8" x14ac:dyDescent="0.25">
      <c r="D62" s="9" t="s">
        <v>24</v>
      </c>
      <c r="E62" s="9" t="s">
        <v>7</v>
      </c>
      <c r="F62" s="9">
        <v>4</v>
      </c>
      <c r="G62" s="9">
        <v>15000</v>
      </c>
      <c r="H62" s="9">
        <f t="shared" si="2"/>
        <v>60000</v>
      </c>
    </row>
    <row r="63" spans="1:8" x14ac:dyDescent="0.25">
      <c r="D63" s="9" t="s">
        <v>25</v>
      </c>
      <c r="E63" s="9" t="s">
        <v>26</v>
      </c>
      <c r="F63" s="9">
        <v>2</v>
      </c>
      <c r="G63" s="9">
        <v>18000</v>
      </c>
      <c r="H63" s="9">
        <f t="shared" si="2"/>
        <v>36000</v>
      </c>
    </row>
    <row r="64" spans="1:8" x14ac:dyDescent="0.25">
      <c r="D64" s="9" t="s">
        <v>27</v>
      </c>
      <c r="E64" s="9" t="s">
        <v>28</v>
      </c>
      <c r="F64" s="9">
        <v>6</v>
      </c>
      <c r="G64" s="9">
        <v>2500</v>
      </c>
      <c r="H64" s="9">
        <f t="shared" si="2"/>
        <v>15000</v>
      </c>
    </row>
    <row r="65" spans="1:12" x14ac:dyDescent="0.25">
      <c r="D65" s="9" t="s">
        <v>29</v>
      </c>
      <c r="E65" s="9" t="s">
        <v>30</v>
      </c>
      <c r="F65" s="9">
        <v>8</v>
      </c>
      <c r="G65" s="9">
        <v>1800</v>
      </c>
      <c r="H65" s="9">
        <f t="shared" si="2"/>
        <v>14400</v>
      </c>
      <c r="J65" s="7"/>
    </row>
    <row r="66" spans="1:12" x14ac:dyDescent="0.25">
      <c r="D66" s="9" t="s">
        <v>31</v>
      </c>
      <c r="E66" s="9" t="s">
        <v>32</v>
      </c>
      <c r="F66" s="9">
        <v>5</v>
      </c>
      <c r="G66" s="9">
        <v>4500</v>
      </c>
      <c r="H66" s="9">
        <f t="shared" si="2"/>
        <v>22500</v>
      </c>
    </row>
    <row r="67" spans="1:12" x14ac:dyDescent="0.25">
      <c r="D67" s="9" t="s">
        <v>33</v>
      </c>
      <c r="E67" s="9" t="s">
        <v>34</v>
      </c>
      <c r="F67" s="9">
        <v>7</v>
      </c>
      <c r="G67" s="9">
        <v>3200</v>
      </c>
      <c r="H67" s="9">
        <f t="shared" si="2"/>
        <v>22400</v>
      </c>
    </row>
    <row r="68" spans="1:12" x14ac:dyDescent="0.25">
      <c r="D68" s="9" t="s">
        <v>35</v>
      </c>
      <c r="E68" s="9" t="s">
        <v>36</v>
      </c>
      <c r="F68" s="9">
        <v>3</v>
      </c>
      <c r="G68" s="9">
        <v>7000</v>
      </c>
      <c r="H68" s="9">
        <f t="shared" si="2"/>
        <v>21000</v>
      </c>
    </row>
    <row r="71" spans="1:12" ht="18.75" x14ac:dyDescent="0.25">
      <c r="A71" s="20" t="s">
        <v>53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 ht="18.75" x14ac:dyDescent="0.3">
      <c r="A72" s="12" t="s">
        <v>54</v>
      </c>
    </row>
    <row r="74" spans="1:12" x14ac:dyDescent="0.25">
      <c r="A74" s="10" t="s">
        <v>438</v>
      </c>
    </row>
    <row r="75" spans="1:12" x14ac:dyDescent="0.25">
      <c r="A75" s="10" t="s">
        <v>55</v>
      </c>
    </row>
    <row r="76" spans="1:12" ht="18.75" x14ac:dyDescent="0.25">
      <c r="D76" s="11" t="s">
        <v>17</v>
      </c>
      <c r="E76" s="11" t="s">
        <v>1</v>
      </c>
      <c r="F76" s="11" t="s">
        <v>39</v>
      </c>
      <c r="G76" s="11" t="s">
        <v>52</v>
      </c>
      <c r="H76" s="4"/>
    </row>
    <row r="77" spans="1:12" x14ac:dyDescent="0.25">
      <c r="D77" s="9" t="s">
        <v>21</v>
      </c>
      <c r="E77" s="9" t="s">
        <v>4</v>
      </c>
      <c r="F77" s="9">
        <v>100000</v>
      </c>
      <c r="G77" s="28">
        <f>F77*$D$90</f>
        <v>10000</v>
      </c>
      <c r="H77" s="3"/>
    </row>
    <row r="78" spans="1:12" x14ac:dyDescent="0.25">
      <c r="D78" s="9" t="s">
        <v>22</v>
      </c>
      <c r="E78" s="9" t="s">
        <v>5</v>
      </c>
      <c r="F78" s="9">
        <v>3000</v>
      </c>
      <c r="G78" s="28">
        <f t="shared" ref="G78:G86" si="3">F78*$D$90</f>
        <v>300</v>
      </c>
      <c r="H78" s="3"/>
    </row>
    <row r="79" spans="1:12" x14ac:dyDescent="0.25">
      <c r="D79" s="9" t="s">
        <v>23</v>
      </c>
      <c r="E79" s="9" t="s">
        <v>6</v>
      </c>
      <c r="F79" s="9">
        <v>3600</v>
      </c>
      <c r="G79" s="28">
        <f t="shared" si="3"/>
        <v>360</v>
      </c>
      <c r="H79" s="3"/>
    </row>
    <row r="80" spans="1:12" x14ac:dyDescent="0.25">
      <c r="D80" s="9" t="s">
        <v>24</v>
      </c>
      <c r="E80" s="9" t="s">
        <v>7</v>
      </c>
      <c r="F80" s="9">
        <v>60000</v>
      </c>
      <c r="G80" s="28">
        <f t="shared" si="3"/>
        <v>6000</v>
      </c>
      <c r="H80" s="3"/>
    </row>
    <row r="81" spans="1:12" x14ac:dyDescent="0.25">
      <c r="D81" s="9" t="s">
        <v>25</v>
      </c>
      <c r="E81" s="9" t="s">
        <v>26</v>
      </c>
      <c r="F81" s="9">
        <v>36000</v>
      </c>
      <c r="G81" s="28">
        <f t="shared" si="3"/>
        <v>3600</v>
      </c>
      <c r="H81" s="3"/>
    </row>
    <row r="82" spans="1:12" x14ac:dyDescent="0.25">
      <c r="D82" s="9" t="s">
        <v>27</v>
      </c>
      <c r="E82" s="9" t="s">
        <v>28</v>
      </c>
      <c r="F82" s="9">
        <v>15000</v>
      </c>
      <c r="G82" s="28">
        <f t="shared" si="3"/>
        <v>1500</v>
      </c>
      <c r="H82" s="3"/>
    </row>
    <row r="83" spans="1:12" x14ac:dyDescent="0.25">
      <c r="D83" s="9" t="s">
        <v>29</v>
      </c>
      <c r="E83" s="9" t="s">
        <v>30</v>
      </c>
      <c r="F83" s="9">
        <v>14400</v>
      </c>
      <c r="G83" s="28">
        <f>F83*$D$90</f>
        <v>1440</v>
      </c>
      <c r="H83" s="3"/>
    </row>
    <row r="84" spans="1:12" x14ac:dyDescent="0.25">
      <c r="D84" s="9" t="s">
        <v>31</v>
      </c>
      <c r="E84" s="9" t="s">
        <v>32</v>
      </c>
      <c r="F84" s="9">
        <v>22500</v>
      </c>
      <c r="G84" s="28">
        <f t="shared" si="3"/>
        <v>2250</v>
      </c>
      <c r="H84" s="3"/>
    </row>
    <row r="85" spans="1:12" x14ac:dyDescent="0.25">
      <c r="D85" s="9" t="s">
        <v>33</v>
      </c>
      <c r="E85" s="9" t="s">
        <v>34</v>
      </c>
      <c r="F85" s="9">
        <v>22400</v>
      </c>
      <c r="G85" s="28">
        <f t="shared" si="3"/>
        <v>2240</v>
      </c>
      <c r="H85" s="3"/>
    </row>
    <row r="86" spans="1:12" x14ac:dyDescent="0.25">
      <c r="D86" s="9" t="s">
        <v>35</v>
      </c>
      <c r="E86" s="9" t="s">
        <v>36</v>
      </c>
      <c r="F86" s="9">
        <v>21000</v>
      </c>
      <c r="G86" s="28">
        <f t="shared" si="3"/>
        <v>2100</v>
      </c>
      <c r="H86" s="3"/>
    </row>
    <row r="89" spans="1:12" x14ac:dyDescent="0.25">
      <c r="D89" s="19" t="s">
        <v>51</v>
      </c>
    </row>
    <row r="90" spans="1:12" x14ac:dyDescent="0.25">
      <c r="D90" s="22">
        <v>0.1</v>
      </c>
    </row>
    <row r="93" spans="1:12" ht="18.75" x14ac:dyDescent="0.25">
      <c r="A93" s="20" t="s">
        <v>79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5" spans="1:12" x14ac:dyDescent="0.25">
      <c r="A95" s="34" t="s">
        <v>439</v>
      </c>
      <c r="B95" s="77" t="s">
        <v>264</v>
      </c>
      <c r="C95" s="77"/>
      <c r="D95" s="80" t="s">
        <v>440</v>
      </c>
      <c r="E95" s="80"/>
      <c r="F95" s="80" t="s">
        <v>441</v>
      </c>
      <c r="G95" s="80"/>
    </row>
    <row r="96" spans="1:12" x14ac:dyDescent="0.25">
      <c r="A96" s="24" t="s">
        <v>442</v>
      </c>
      <c r="B96" s="75" t="s">
        <v>443</v>
      </c>
      <c r="C96" s="75"/>
      <c r="D96" s="75" t="s">
        <v>444</v>
      </c>
      <c r="E96" s="75"/>
      <c r="F96" s="75" t="s">
        <v>445</v>
      </c>
      <c r="G96" s="75"/>
    </row>
    <row r="97" spans="1:8" ht="15.75" customHeight="1" x14ac:dyDescent="0.25">
      <c r="A97" s="34" t="s">
        <v>446</v>
      </c>
      <c r="B97" s="75" t="s">
        <v>447</v>
      </c>
      <c r="C97" s="75"/>
      <c r="D97" s="75" t="s">
        <v>448</v>
      </c>
      <c r="E97" s="75"/>
      <c r="F97" s="78" t="s">
        <v>449</v>
      </c>
      <c r="G97" s="79"/>
    </row>
    <row r="98" spans="1:8" ht="15.75" customHeight="1" x14ac:dyDescent="0.25">
      <c r="A98" s="10"/>
    </row>
    <row r="99" spans="1:8" ht="15.75" customHeight="1" x14ac:dyDescent="0.25">
      <c r="A99" s="10" t="s">
        <v>450</v>
      </c>
    </row>
    <row r="100" spans="1:8" ht="15.75" x14ac:dyDescent="0.3">
      <c r="A100" s="10" t="s">
        <v>451</v>
      </c>
      <c r="B100" s="7"/>
      <c r="C100" s="7"/>
      <c r="D100" s="25"/>
      <c r="E100" s="25"/>
    </row>
    <row r="101" spans="1:8" ht="15.75" x14ac:dyDescent="0.3">
      <c r="A101" s="10" t="s">
        <v>452</v>
      </c>
      <c r="B101" s="7"/>
      <c r="C101" s="7"/>
      <c r="D101" s="25"/>
      <c r="E101" s="25"/>
    </row>
    <row r="102" spans="1:8" ht="15.75" x14ac:dyDescent="0.3">
      <c r="A102" s="60" t="s">
        <v>453</v>
      </c>
      <c r="B102" s="7"/>
      <c r="C102" s="7"/>
      <c r="D102" s="25"/>
      <c r="E102" s="25"/>
    </row>
    <row r="103" spans="1:8" ht="15.75" x14ac:dyDescent="0.3">
      <c r="B103" s="59"/>
      <c r="C103" s="7"/>
      <c r="D103" s="7"/>
      <c r="E103" s="25"/>
      <c r="F103" s="25"/>
    </row>
    <row r="104" spans="1:8" x14ac:dyDescent="0.25">
      <c r="A104" s="5"/>
    </row>
    <row r="105" spans="1:8" ht="18.75" x14ac:dyDescent="0.25">
      <c r="C105" s="23" t="s">
        <v>61</v>
      </c>
      <c r="D105" s="11" t="s">
        <v>56</v>
      </c>
      <c r="E105" s="11" t="s">
        <v>4</v>
      </c>
      <c r="F105" s="11" t="s">
        <v>5</v>
      </c>
      <c r="G105" s="11" t="s">
        <v>6</v>
      </c>
      <c r="H105" s="11" t="s">
        <v>7</v>
      </c>
    </row>
    <row r="106" spans="1:8" x14ac:dyDescent="0.25">
      <c r="D106" s="9" t="s">
        <v>57</v>
      </c>
      <c r="E106" s="9">
        <v>100000</v>
      </c>
      <c r="F106" s="9">
        <v>3000</v>
      </c>
      <c r="G106" s="9">
        <v>3600</v>
      </c>
      <c r="H106" s="9">
        <v>60000</v>
      </c>
    </row>
    <row r="107" spans="1:8" x14ac:dyDescent="0.25">
      <c r="D107" s="9" t="s">
        <v>58</v>
      </c>
      <c r="E107" s="9">
        <v>85000</v>
      </c>
      <c r="F107" s="9">
        <v>4500</v>
      </c>
      <c r="G107" s="9">
        <v>2400</v>
      </c>
      <c r="H107" s="9">
        <v>45000</v>
      </c>
    </row>
    <row r="108" spans="1:8" x14ac:dyDescent="0.25">
      <c r="D108" s="9" t="s">
        <v>59</v>
      </c>
      <c r="E108" s="9">
        <v>120000</v>
      </c>
      <c r="F108" s="9">
        <v>3600</v>
      </c>
      <c r="G108" s="9">
        <v>4800</v>
      </c>
      <c r="H108" s="9">
        <v>75000</v>
      </c>
    </row>
    <row r="111" spans="1:8" ht="18.75" x14ac:dyDescent="0.25">
      <c r="C111" s="23" t="s">
        <v>62</v>
      </c>
      <c r="D111" s="8"/>
      <c r="E111" s="11" t="s">
        <v>4</v>
      </c>
      <c r="F111" s="11" t="s">
        <v>5</v>
      </c>
      <c r="G111" s="11" t="s">
        <v>6</v>
      </c>
      <c r="H111" s="11" t="s">
        <v>7</v>
      </c>
    </row>
    <row r="112" spans="1:8" x14ac:dyDescent="0.25">
      <c r="D112" s="24" t="s">
        <v>60</v>
      </c>
      <c r="E112" s="22">
        <v>0.05</v>
      </c>
      <c r="F112" s="22">
        <v>0.08</v>
      </c>
      <c r="G112" s="22">
        <v>0.06</v>
      </c>
      <c r="H112" s="22">
        <v>0.1</v>
      </c>
    </row>
    <row r="114" spans="1:8" x14ac:dyDescent="0.25">
      <c r="A114" t="s">
        <v>66</v>
      </c>
    </row>
    <row r="116" spans="1:8" ht="18.75" x14ac:dyDescent="0.25">
      <c r="D116" s="11" t="s">
        <v>56</v>
      </c>
      <c r="E116" s="11" t="s">
        <v>4</v>
      </c>
      <c r="F116" s="11" t="s">
        <v>5</v>
      </c>
      <c r="G116" s="11" t="s">
        <v>6</v>
      </c>
      <c r="H116" s="11" t="s">
        <v>7</v>
      </c>
    </row>
    <row r="117" spans="1:8" x14ac:dyDescent="0.25">
      <c r="D117" s="9" t="s">
        <v>57</v>
      </c>
      <c r="E117" s="15">
        <f>E106*E$112</f>
        <v>5000</v>
      </c>
      <c r="F117" s="15">
        <f t="shared" ref="F117:G117" si="4">F106*F$112</f>
        <v>240</v>
      </c>
      <c r="G117" s="15">
        <f t="shared" si="4"/>
        <v>216</v>
      </c>
      <c r="H117" s="15">
        <f>H106*H$112</f>
        <v>6000</v>
      </c>
    </row>
    <row r="118" spans="1:8" x14ac:dyDescent="0.25">
      <c r="D118" s="9" t="s">
        <v>58</v>
      </c>
      <c r="E118" s="15">
        <f>E107*E$112</f>
        <v>4250</v>
      </c>
      <c r="F118" s="15">
        <f t="shared" ref="F118:H118" si="5">F107*F$112</f>
        <v>360</v>
      </c>
      <c r="G118" s="15">
        <f t="shared" si="5"/>
        <v>144</v>
      </c>
      <c r="H118" s="15">
        <f t="shared" si="5"/>
        <v>4500</v>
      </c>
    </row>
    <row r="119" spans="1:8" x14ac:dyDescent="0.25">
      <c r="D119" s="9" t="s">
        <v>59</v>
      </c>
      <c r="E119" s="15">
        <f>E108*E$112</f>
        <v>6000</v>
      </c>
      <c r="F119" s="15">
        <f t="shared" ref="F119:H119" si="6">F108*F$112</f>
        <v>288</v>
      </c>
      <c r="G119" s="15">
        <f t="shared" si="6"/>
        <v>288</v>
      </c>
      <c r="H119" s="15">
        <f t="shared" si="6"/>
        <v>7500</v>
      </c>
    </row>
    <row r="121" spans="1:8" x14ac:dyDescent="0.25">
      <c r="D121" s="10" t="s">
        <v>65</v>
      </c>
    </row>
    <row r="122" spans="1:8" ht="15.75" x14ac:dyDescent="0.3">
      <c r="D122" s="25" t="s">
        <v>63</v>
      </c>
    </row>
    <row r="123" spans="1:8" ht="15.75" x14ac:dyDescent="0.3">
      <c r="D123" s="25" t="s">
        <v>64</v>
      </c>
    </row>
    <row r="125" spans="1:8" ht="15.75" x14ac:dyDescent="0.25">
      <c r="C125" s="7"/>
      <c r="D125" s="27">
        <v>10</v>
      </c>
      <c r="E125" s="27">
        <v>20</v>
      </c>
      <c r="F125" s="27">
        <v>30</v>
      </c>
      <c r="G125" s="27">
        <v>40</v>
      </c>
      <c r="H125" s="27">
        <v>50</v>
      </c>
    </row>
    <row r="126" spans="1:8" ht="15.75" x14ac:dyDescent="0.25">
      <c r="C126" s="27">
        <v>1</v>
      </c>
      <c r="D126" s="16">
        <f>$C126*D$125</f>
        <v>10</v>
      </c>
      <c r="E126" s="16">
        <f t="shared" ref="E126:H130" si="7">$C126*E$125</f>
        <v>20</v>
      </c>
      <c r="F126" s="16">
        <f t="shared" si="7"/>
        <v>30</v>
      </c>
      <c r="G126" s="16">
        <f t="shared" si="7"/>
        <v>40</v>
      </c>
      <c r="H126" s="16">
        <f t="shared" si="7"/>
        <v>50</v>
      </c>
    </row>
    <row r="127" spans="1:8" ht="15.75" x14ac:dyDescent="0.25">
      <c r="C127" s="27">
        <v>2</v>
      </c>
      <c r="D127" s="16">
        <f t="shared" ref="D127:D130" si="8">$C127*D$125</f>
        <v>20</v>
      </c>
      <c r="E127" s="16">
        <f t="shared" si="7"/>
        <v>40</v>
      </c>
      <c r="F127" s="16">
        <f t="shared" si="7"/>
        <v>60</v>
      </c>
      <c r="G127" s="16">
        <f t="shared" si="7"/>
        <v>80</v>
      </c>
      <c r="H127" s="16">
        <f t="shared" si="7"/>
        <v>100</v>
      </c>
    </row>
    <row r="128" spans="1:8" ht="15.75" x14ac:dyDescent="0.25">
      <c r="C128" s="27">
        <v>3</v>
      </c>
      <c r="D128" s="16">
        <f t="shared" si="8"/>
        <v>30</v>
      </c>
      <c r="E128" s="16">
        <f t="shared" si="7"/>
        <v>60</v>
      </c>
      <c r="F128" s="16">
        <f t="shared" si="7"/>
        <v>90</v>
      </c>
      <c r="G128" s="16">
        <f t="shared" si="7"/>
        <v>120</v>
      </c>
      <c r="H128" s="16">
        <f t="shared" si="7"/>
        <v>150</v>
      </c>
    </row>
    <row r="129" spans="3:8" ht="15.75" x14ac:dyDescent="0.25">
      <c r="C129" s="27">
        <v>4</v>
      </c>
      <c r="D129" s="16">
        <f t="shared" si="8"/>
        <v>40</v>
      </c>
      <c r="E129" s="16">
        <f t="shared" si="7"/>
        <v>80</v>
      </c>
      <c r="F129" s="16">
        <f t="shared" si="7"/>
        <v>120</v>
      </c>
      <c r="G129" s="16">
        <f t="shared" si="7"/>
        <v>160</v>
      </c>
      <c r="H129" s="16">
        <f t="shared" si="7"/>
        <v>200</v>
      </c>
    </row>
    <row r="130" spans="3:8" ht="15.75" x14ac:dyDescent="0.25">
      <c r="C130" s="27">
        <v>5</v>
      </c>
      <c r="D130" s="16">
        <f t="shared" si="8"/>
        <v>50</v>
      </c>
      <c r="E130" s="16">
        <f t="shared" si="7"/>
        <v>100</v>
      </c>
      <c r="F130" s="16">
        <f t="shared" si="7"/>
        <v>150</v>
      </c>
      <c r="G130" s="16">
        <f t="shared" si="7"/>
        <v>200</v>
      </c>
      <c r="H130" s="16">
        <f t="shared" si="7"/>
        <v>250</v>
      </c>
    </row>
  </sheetData>
  <mergeCells count="9">
    <mergeCell ref="F97:G97"/>
    <mergeCell ref="B96:C96"/>
    <mergeCell ref="B95:C95"/>
    <mergeCell ref="B97:C97"/>
    <mergeCell ref="D97:E97"/>
    <mergeCell ref="D96:E96"/>
    <mergeCell ref="F96:G96"/>
    <mergeCell ref="D95:E95"/>
    <mergeCell ref="F95:G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90A6-A13E-4868-A84C-3899367061E8}">
  <dimension ref="A1:S125"/>
  <sheetViews>
    <sheetView topLeftCell="A116" zoomScale="120" zoomScaleNormal="120" workbookViewId="0">
      <selection activeCell="A124" sqref="A124:A125"/>
    </sheetView>
  </sheetViews>
  <sheetFormatPr defaultRowHeight="15" x14ac:dyDescent="0.25"/>
  <cols>
    <col min="1" max="1" width="15.140625" customWidth="1"/>
    <col min="2" max="2" width="10" customWidth="1"/>
    <col min="3" max="3" width="22.28515625" customWidth="1"/>
    <col min="4" max="4" width="31.5703125" customWidth="1"/>
    <col min="5" max="5" width="28" customWidth="1"/>
    <col min="6" max="6" width="13.7109375" customWidth="1"/>
    <col min="7" max="7" width="15.28515625" customWidth="1"/>
    <col min="8" max="8" width="13.5703125" customWidth="1"/>
    <col min="9" max="9" width="12" customWidth="1"/>
    <col min="10" max="10" width="29.28515625" customWidth="1"/>
    <col min="11" max="11" width="15.5703125" customWidth="1"/>
  </cols>
  <sheetData>
    <row r="1" spans="1:19" ht="26.25" x14ac:dyDescent="0.4">
      <c r="A1" s="81" t="s">
        <v>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30"/>
      <c r="O1" s="30"/>
      <c r="P1" s="30"/>
      <c r="Q1" s="30"/>
      <c r="R1" s="30"/>
      <c r="S1" s="30"/>
    </row>
    <row r="3" spans="1:19" x14ac:dyDescent="0.25">
      <c r="A3" t="s">
        <v>81</v>
      </c>
    </row>
    <row r="4" spans="1:19" ht="15.75" x14ac:dyDescent="0.25">
      <c r="A4" t="s">
        <v>454</v>
      </c>
    </row>
    <row r="5" spans="1:19" x14ac:dyDescent="0.25">
      <c r="E5" s="2"/>
      <c r="F5" s="4"/>
      <c r="G5" s="4"/>
      <c r="H5" s="4"/>
    </row>
    <row r="6" spans="1:19" x14ac:dyDescent="0.25">
      <c r="A6" t="s">
        <v>82</v>
      </c>
      <c r="E6" s="5"/>
      <c r="F6" s="3"/>
      <c r="G6" s="3"/>
      <c r="H6" s="18"/>
    </row>
    <row r="7" spans="1:19" ht="15.75" x14ac:dyDescent="0.3">
      <c r="A7" s="25" t="s">
        <v>83</v>
      </c>
      <c r="D7" s="10" t="s">
        <v>86</v>
      </c>
      <c r="E7" s="5"/>
      <c r="F7" s="3"/>
      <c r="G7" s="3"/>
      <c r="H7" s="18"/>
    </row>
    <row r="8" spans="1:19" ht="15.75" x14ac:dyDescent="0.3">
      <c r="A8" s="25" t="s">
        <v>84</v>
      </c>
      <c r="D8" t="s">
        <v>87</v>
      </c>
      <c r="E8" s="5"/>
      <c r="F8" s="3"/>
      <c r="G8" s="3"/>
      <c r="H8" s="18"/>
    </row>
    <row r="9" spans="1:19" x14ac:dyDescent="0.25">
      <c r="A9" s="29" t="s">
        <v>85</v>
      </c>
      <c r="E9" s="10"/>
      <c r="F9" s="3"/>
      <c r="G9" s="3"/>
      <c r="H9" s="18"/>
    </row>
    <row r="10" spans="1:19" x14ac:dyDescent="0.25">
      <c r="F10" s="3"/>
      <c r="G10" s="3"/>
      <c r="H10" s="18"/>
    </row>
    <row r="11" spans="1:19" x14ac:dyDescent="0.25">
      <c r="A11" s="10" t="s">
        <v>80</v>
      </c>
    </row>
    <row r="12" spans="1:19" x14ac:dyDescent="0.25">
      <c r="A12" t="s">
        <v>114</v>
      </c>
    </row>
    <row r="14" spans="1:19" ht="18" x14ac:dyDescent="0.25">
      <c r="A14" s="38" t="s">
        <v>179</v>
      </c>
    </row>
    <row r="15" spans="1:19" x14ac:dyDescent="0.25">
      <c r="A15" s="60" t="s">
        <v>180</v>
      </c>
    </row>
    <row r="16" spans="1:19" x14ac:dyDescent="0.25">
      <c r="A16" s="60" t="s">
        <v>455</v>
      </c>
    </row>
    <row r="17" spans="1:9" x14ac:dyDescent="0.25">
      <c r="A17" s="60" t="s">
        <v>456</v>
      </c>
    </row>
    <row r="18" spans="1:9" x14ac:dyDescent="0.25">
      <c r="A18" s="60" t="s">
        <v>181</v>
      </c>
    </row>
    <row r="19" spans="1:9" x14ac:dyDescent="0.25">
      <c r="A19" s="60" t="s">
        <v>182</v>
      </c>
    </row>
    <row r="20" spans="1:9" x14ac:dyDescent="0.25">
      <c r="A20" s="39"/>
    </row>
    <row r="21" spans="1:9" x14ac:dyDescent="0.25">
      <c r="B21" s="62" t="s">
        <v>17</v>
      </c>
      <c r="C21" s="62" t="s">
        <v>132</v>
      </c>
      <c r="D21" s="62" t="s">
        <v>1</v>
      </c>
      <c r="E21" s="62" t="s">
        <v>89</v>
      </c>
      <c r="F21" s="62" t="s">
        <v>133</v>
      </c>
      <c r="G21" s="62" t="s">
        <v>18</v>
      </c>
      <c r="H21" s="62" t="s">
        <v>38</v>
      </c>
      <c r="I21" s="62" t="s">
        <v>151</v>
      </c>
    </row>
    <row r="22" spans="1:9" x14ac:dyDescent="0.25">
      <c r="B22" s="9" t="s">
        <v>134</v>
      </c>
      <c r="C22" s="35">
        <v>46204</v>
      </c>
      <c r="D22" s="9" t="s">
        <v>4</v>
      </c>
      <c r="E22" s="9" t="s">
        <v>92</v>
      </c>
      <c r="F22" s="9" t="s">
        <v>119</v>
      </c>
      <c r="G22" s="9">
        <v>2</v>
      </c>
      <c r="H22" s="61">
        <v>55000</v>
      </c>
      <c r="I22" s="61">
        <v>110000</v>
      </c>
    </row>
    <row r="23" spans="1:9" x14ac:dyDescent="0.25">
      <c r="B23" s="9" t="s">
        <v>135</v>
      </c>
      <c r="C23" s="35">
        <v>46204</v>
      </c>
      <c r="D23" s="9" t="s">
        <v>5</v>
      </c>
      <c r="E23" s="9" t="s">
        <v>94</v>
      </c>
      <c r="F23" s="9" t="s">
        <v>120</v>
      </c>
      <c r="G23" s="9">
        <v>5</v>
      </c>
      <c r="H23" s="9">
        <v>700</v>
      </c>
      <c r="I23" s="61">
        <v>3500</v>
      </c>
    </row>
    <row r="24" spans="1:9" x14ac:dyDescent="0.25">
      <c r="B24" s="9" t="s">
        <v>136</v>
      </c>
      <c r="C24" s="35">
        <v>46205</v>
      </c>
      <c r="D24" s="9" t="s">
        <v>6</v>
      </c>
      <c r="E24" s="9" t="s">
        <v>94</v>
      </c>
      <c r="F24" s="9" t="s">
        <v>121</v>
      </c>
      <c r="G24" s="9">
        <v>3</v>
      </c>
      <c r="H24" s="61">
        <v>1200</v>
      </c>
      <c r="I24" s="61">
        <v>3600</v>
      </c>
    </row>
    <row r="25" spans="1:9" x14ac:dyDescent="0.25">
      <c r="B25" s="9" t="s">
        <v>137</v>
      </c>
      <c r="C25" s="35">
        <v>46206</v>
      </c>
      <c r="D25" s="9" t="s">
        <v>7</v>
      </c>
      <c r="E25" s="9" t="s">
        <v>92</v>
      </c>
      <c r="F25" s="9" t="s">
        <v>119</v>
      </c>
      <c r="G25" s="9">
        <v>2</v>
      </c>
      <c r="H25" s="61">
        <v>15000</v>
      </c>
      <c r="I25" s="61">
        <v>30000</v>
      </c>
    </row>
    <row r="26" spans="1:9" x14ac:dyDescent="0.25">
      <c r="B26" s="9" t="s">
        <v>138</v>
      </c>
      <c r="C26" s="35">
        <v>46207</v>
      </c>
      <c r="D26" s="9" t="s">
        <v>26</v>
      </c>
      <c r="E26" s="9" t="s">
        <v>92</v>
      </c>
      <c r="F26" s="9" t="s">
        <v>120</v>
      </c>
      <c r="G26" s="9">
        <v>1</v>
      </c>
      <c r="H26" s="61">
        <v>12000</v>
      </c>
      <c r="I26" s="61">
        <v>12000</v>
      </c>
    </row>
    <row r="27" spans="1:9" x14ac:dyDescent="0.25">
      <c r="B27" s="9" t="s">
        <v>139</v>
      </c>
      <c r="C27" s="35">
        <v>46208</v>
      </c>
      <c r="D27" s="9" t="s">
        <v>28</v>
      </c>
      <c r="E27" s="9" t="s">
        <v>94</v>
      </c>
      <c r="F27" s="9" t="s">
        <v>121</v>
      </c>
      <c r="G27" s="9">
        <v>4</v>
      </c>
      <c r="H27" s="61">
        <v>2500</v>
      </c>
      <c r="I27" s="61">
        <v>10000</v>
      </c>
    </row>
    <row r="28" spans="1:9" x14ac:dyDescent="0.25">
      <c r="B28" s="9" t="s">
        <v>140</v>
      </c>
      <c r="C28" s="35">
        <v>46209</v>
      </c>
      <c r="D28" s="9" t="s">
        <v>30</v>
      </c>
      <c r="E28" s="9" t="s">
        <v>92</v>
      </c>
      <c r="F28" s="9" t="s">
        <v>119</v>
      </c>
      <c r="G28" s="9">
        <v>3</v>
      </c>
      <c r="H28" s="61">
        <v>3500</v>
      </c>
      <c r="I28" s="61">
        <v>10500</v>
      </c>
    </row>
    <row r="29" spans="1:9" x14ac:dyDescent="0.25">
      <c r="B29" s="9" t="s">
        <v>141</v>
      </c>
      <c r="C29" s="35">
        <v>46210</v>
      </c>
      <c r="D29" s="9" t="s">
        <v>101</v>
      </c>
      <c r="E29" s="9" t="s">
        <v>102</v>
      </c>
      <c r="F29" s="9" t="s">
        <v>120</v>
      </c>
      <c r="G29" s="9">
        <v>2</v>
      </c>
      <c r="H29" s="61">
        <v>2800</v>
      </c>
      <c r="I29" s="61">
        <v>5600</v>
      </c>
    </row>
    <row r="33" spans="1:13" x14ac:dyDescent="0.25">
      <c r="A33" s="10" t="s">
        <v>111</v>
      </c>
      <c r="D33" s="9" t="s">
        <v>112</v>
      </c>
      <c r="E33" s="9" t="s">
        <v>113</v>
      </c>
    </row>
    <row r="34" spans="1:13" x14ac:dyDescent="0.25">
      <c r="A34" t="s">
        <v>103</v>
      </c>
      <c r="D34" s="40"/>
      <c r="E34" s="15"/>
      <c r="G34" s="15" t="s">
        <v>183</v>
      </c>
      <c r="H34" s="15"/>
    </row>
    <row r="35" spans="1:13" x14ac:dyDescent="0.25">
      <c r="A35" t="s">
        <v>104</v>
      </c>
      <c r="D35" s="15"/>
      <c r="E35" s="15"/>
      <c r="G35" s="15" t="s">
        <v>184</v>
      </c>
      <c r="H35" s="15"/>
    </row>
    <row r="36" spans="1:13" x14ac:dyDescent="0.25">
      <c r="A36" t="s">
        <v>105</v>
      </c>
      <c r="D36" s="15"/>
      <c r="E36" s="15"/>
      <c r="G36" s="15" t="s">
        <v>185</v>
      </c>
      <c r="H36" s="15"/>
    </row>
    <row r="37" spans="1:13" x14ac:dyDescent="0.25">
      <c r="A37" t="s">
        <v>106</v>
      </c>
      <c r="D37" s="15"/>
      <c r="E37" s="15"/>
      <c r="G37" s="15" t="s">
        <v>186</v>
      </c>
      <c r="H37" s="15"/>
    </row>
    <row r="38" spans="1:13" x14ac:dyDescent="0.25">
      <c r="A38" t="s">
        <v>107</v>
      </c>
      <c r="D38" s="15"/>
      <c r="E38" s="15"/>
      <c r="G38" s="15" t="s">
        <v>187</v>
      </c>
      <c r="H38" s="15"/>
    </row>
    <row r="39" spans="1:13" x14ac:dyDescent="0.25">
      <c r="A39" t="s">
        <v>108</v>
      </c>
      <c r="D39" s="15"/>
      <c r="E39" s="15"/>
    </row>
    <row r="40" spans="1:13" x14ac:dyDescent="0.25">
      <c r="A40" t="s">
        <v>109</v>
      </c>
      <c r="D40" s="15"/>
      <c r="E40" s="15"/>
    </row>
    <row r="41" spans="1:13" x14ac:dyDescent="0.25">
      <c r="A41" t="s">
        <v>110</v>
      </c>
      <c r="D41" s="15"/>
      <c r="E41" s="15"/>
    </row>
    <row r="44" spans="1:13" ht="26.25" x14ac:dyDescent="0.4">
      <c r="A44" s="81" t="s">
        <v>122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</row>
    <row r="46" spans="1:13" x14ac:dyDescent="0.25">
      <c r="A46" t="s">
        <v>123</v>
      </c>
    </row>
    <row r="47" spans="1:13" x14ac:dyDescent="0.25">
      <c r="A47" s="10" t="s">
        <v>124</v>
      </c>
    </row>
    <row r="48" spans="1:13" x14ac:dyDescent="0.25">
      <c r="A48" t="s">
        <v>125</v>
      </c>
    </row>
    <row r="50" spans="1:9" ht="24" x14ac:dyDescent="0.25">
      <c r="A50" s="31" t="s">
        <v>126</v>
      </c>
    </row>
    <row r="51" spans="1:9" x14ac:dyDescent="0.25">
      <c r="A51" s="6" t="s">
        <v>127</v>
      </c>
    </row>
    <row r="52" spans="1:9" x14ac:dyDescent="0.25">
      <c r="A52" s="6" t="s">
        <v>128</v>
      </c>
    </row>
    <row r="53" spans="1:9" x14ac:dyDescent="0.25">
      <c r="A53" s="6" t="s">
        <v>129</v>
      </c>
    </row>
    <row r="54" spans="1:9" x14ac:dyDescent="0.25">
      <c r="A54" s="6" t="s">
        <v>130</v>
      </c>
    </row>
    <row r="55" spans="1:9" x14ac:dyDescent="0.25">
      <c r="A55" s="6" t="s">
        <v>131</v>
      </c>
    </row>
    <row r="56" spans="1:9" x14ac:dyDescent="0.25">
      <c r="A56" s="6"/>
    </row>
    <row r="57" spans="1:9" x14ac:dyDescent="0.25">
      <c r="A57" s="10" t="s">
        <v>457</v>
      </c>
    </row>
    <row r="59" spans="1:9" x14ac:dyDescent="0.25">
      <c r="B59" s="42" t="s">
        <v>17</v>
      </c>
      <c r="C59" s="43" t="s">
        <v>132</v>
      </c>
      <c r="D59" s="43" t="s">
        <v>1</v>
      </c>
      <c r="E59" s="43" t="s">
        <v>89</v>
      </c>
      <c r="F59" s="43" t="s">
        <v>133</v>
      </c>
      <c r="G59" s="43" t="s">
        <v>18</v>
      </c>
      <c r="H59" s="44" t="s">
        <v>38</v>
      </c>
      <c r="I59" s="2"/>
    </row>
    <row r="60" spans="1:9" x14ac:dyDescent="0.25">
      <c r="B60" s="41" t="s">
        <v>134</v>
      </c>
      <c r="C60" s="35">
        <v>46204</v>
      </c>
      <c r="D60" s="9" t="s">
        <v>4</v>
      </c>
      <c r="E60" s="9" t="s">
        <v>92</v>
      </c>
      <c r="F60" s="9" t="s">
        <v>119</v>
      </c>
      <c r="G60" s="9">
        <v>2</v>
      </c>
      <c r="H60" s="37">
        <v>55000</v>
      </c>
    </row>
    <row r="61" spans="1:9" x14ac:dyDescent="0.25">
      <c r="B61" s="41" t="s">
        <v>135</v>
      </c>
      <c r="C61" s="35">
        <v>46204</v>
      </c>
      <c r="D61" s="9" t="s">
        <v>5</v>
      </c>
      <c r="E61" s="9" t="s">
        <v>94</v>
      </c>
      <c r="F61" s="9" t="s">
        <v>120</v>
      </c>
      <c r="G61" s="9">
        <v>5</v>
      </c>
      <c r="H61" s="37">
        <v>700</v>
      </c>
    </row>
    <row r="62" spans="1:9" x14ac:dyDescent="0.25">
      <c r="B62" s="41" t="s">
        <v>136</v>
      </c>
      <c r="C62" s="35">
        <v>46205</v>
      </c>
      <c r="D62" s="9" t="s">
        <v>6</v>
      </c>
      <c r="E62" s="9" t="s">
        <v>94</v>
      </c>
      <c r="F62" s="9" t="s">
        <v>121</v>
      </c>
      <c r="G62" s="9">
        <v>3</v>
      </c>
      <c r="H62" s="37">
        <v>1200</v>
      </c>
    </row>
    <row r="63" spans="1:9" x14ac:dyDescent="0.25">
      <c r="B63" s="41" t="s">
        <v>137</v>
      </c>
      <c r="C63" s="35">
        <v>46206</v>
      </c>
      <c r="D63" s="9" t="s">
        <v>7</v>
      </c>
      <c r="E63" s="9" t="s">
        <v>92</v>
      </c>
      <c r="F63" s="9" t="s">
        <v>119</v>
      </c>
      <c r="G63" s="9">
        <v>2</v>
      </c>
      <c r="H63" s="37">
        <v>15000</v>
      </c>
    </row>
    <row r="64" spans="1:9" x14ac:dyDescent="0.25">
      <c r="B64" s="41" t="s">
        <v>138</v>
      </c>
      <c r="C64" s="35">
        <v>46207</v>
      </c>
      <c r="D64" s="9" t="s">
        <v>26</v>
      </c>
      <c r="E64" s="9" t="s">
        <v>92</v>
      </c>
      <c r="F64" s="9" t="s">
        <v>120</v>
      </c>
      <c r="G64" s="9">
        <v>1</v>
      </c>
      <c r="H64" s="37">
        <v>12000</v>
      </c>
    </row>
    <row r="65" spans="1:10" x14ac:dyDescent="0.25">
      <c r="B65" s="41" t="s">
        <v>139</v>
      </c>
      <c r="C65" s="35">
        <v>46208</v>
      </c>
      <c r="D65" s="9" t="s">
        <v>28</v>
      </c>
      <c r="E65" s="9" t="s">
        <v>94</v>
      </c>
      <c r="F65" s="9" t="s">
        <v>121</v>
      </c>
      <c r="G65" s="9">
        <v>4</v>
      </c>
      <c r="H65" s="37">
        <v>2500</v>
      </c>
    </row>
    <row r="66" spans="1:10" x14ac:dyDescent="0.25">
      <c r="B66" s="41" t="s">
        <v>140</v>
      </c>
      <c r="C66" s="35">
        <v>46209</v>
      </c>
      <c r="D66" s="9" t="s">
        <v>30</v>
      </c>
      <c r="E66" s="9" t="s">
        <v>92</v>
      </c>
      <c r="F66" s="9" t="s">
        <v>119</v>
      </c>
      <c r="G66" s="9">
        <v>3</v>
      </c>
      <c r="H66" s="37">
        <v>3500</v>
      </c>
    </row>
    <row r="67" spans="1:10" x14ac:dyDescent="0.25">
      <c r="B67" s="45" t="s">
        <v>141</v>
      </c>
      <c r="C67" s="46">
        <v>46210</v>
      </c>
      <c r="D67" s="47" t="s">
        <v>101</v>
      </c>
      <c r="E67" s="47" t="s">
        <v>102</v>
      </c>
      <c r="F67" s="47" t="s">
        <v>120</v>
      </c>
      <c r="G67" s="47">
        <v>2</v>
      </c>
      <c r="H67" s="48">
        <v>2800</v>
      </c>
    </row>
    <row r="68" spans="1:10" x14ac:dyDescent="0.25">
      <c r="B68" s="1"/>
      <c r="C68" s="36"/>
      <c r="D68" s="1"/>
      <c r="E68" s="1"/>
      <c r="F68" s="1"/>
      <c r="G68" s="1"/>
      <c r="H68" s="1"/>
      <c r="I68" s="1"/>
    </row>
    <row r="69" spans="1:10" x14ac:dyDescent="0.25">
      <c r="B69" s="1"/>
      <c r="C69" s="36"/>
      <c r="E69" s="1"/>
      <c r="F69" s="1"/>
      <c r="G69" s="1"/>
      <c r="H69" s="1"/>
      <c r="I69" s="1"/>
    </row>
    <row r="70" spans="1:10" x14ac:dyDescent="0.25">
      <c r="B70" s="1"/>
      <c r="C70" s="36"/>
      <c r="E70" s="1"/>
      <c r="F70" s="1"/>
      <c r="G70" s="1"/>
      <c r="H70" s="1"/>
      <c r="I70" s="1"/>
    </row>
    <row r="71" spans="1:10" x14ac:dyDescent="0.25">
      <c r="A71" t="s">
        <v>142</v>
      </c>
    </row>
    <row r="72" spans="1:10" x14ac:dyDescent="0.25">
      <c r="D72" s="5"/>
    </row>
    <row r="73" spans="1:10" x14ac:dyDescent="0.25">
      <c r="B73" s="42" t="s">
        <v>17</v>
      </c>
      <c r="C73" s="43" t="s">
        <v>132</v>
      </c>
      <c r="D73" s="43" t="s">
        <v>1</v>
      </c>
      <c r="E73" s="43" t="s">
        <v>89</v>
      </c>
      <c r="F73" s="43" t="s">
        <v>133</v>
      </c>
      <c r="G73" s="43" t="s">
        <v>18</v>
      </c>
      <c r="H73" s="44" t="s">
        <v>38</v>
      </c>
    </row>
    <row r="74" spans="1:10" x14ac:dyDescent="0.25">
      <c r="B74" s="41" t="s">
        <v>134</v>
      </c>
      <c r="C74" s="35">
        <v>46204</v>
      </c>
      <c r="D74" s="9" t="s">
        <v>4</v>
      </c>
      <c r="E74" s="9" t="s">
        <v>92</v>
      </c>
      <c r="F74" s="9" t="s">
        <v>119</v>
      </c>
      <c r="G74" s="9">
        <v>2</v>
      </c>
      <c r="H74" s="37">
        <v>55000</v>
      </c>
      <c r="J74" s="19" t="s">
        <v>51</v>
      </c>
    </row>
    <row r="75" spans="1:10" x14ac:dyDescent="0.25">
      <c r="B75" s="41" t="s">
        <v>135</v>
      </c>
      <c r="C75" s="35">
        <v>46204</v>
      </c>
      <c r="D75" s="9" t="s">
        <v>5</v>
      </c>
      <c r="E75" s="9" t="s">
        <v>94</v>
      </c>
      <c r="F75" s="9" t="s">
        <v>120</v>
      </c>
      <c r="G75" s="9">
        <v>5</v>
      </c>
      <c r="H75" s="37">
        <v>700</v>
      </c>
      <c r="J75" s="22">
        <v>0.1</v>
      </c>
    </row>
    <row r="76" spans="1:10" x14ac:dyDescent="0.25">
      <c r="B76" s="41" t="s">
        <v>136</v>
      </c>
      <c r="C76" s="35">
        <v>46205</v>
      </c>
      <c r="D76" s="9" t="s">
        <v>6</v>
      </c>
      <c r="E76" s="9" t="s">
        <v>94</v>
      </c>
      <c r="F76" s="9" t="s">
        <v>121</v>
      </c>
      <c r="G76" s="9">
        <v>3</v>
      </c>
      <c r="H76" s="37">
        <v>1200</v>
      </c>
    </row>
    <row r="77" spans="1:10" x14ac:dyDescent="0.25">
      <c r="B77" s="41" t="s">
        <v>137</v>
      </c>
      <c r="C77" s="35">
        <v>46206</v>
      </c>
      <c r="D77" s="9" t="s">
        <v>7</v>
      </c>
      <c r="E77" s="9" t="s">
        <v>92</v>
      </c>
      <c r="F77" s="9" t="s">
        <v>119</v>
      </c>
      <c r="G77" s="9">
        <v>2</v>
      </c>
      <c r="H77" s="37">
        <v>15000</v>
      </c>
    </row>
    <row r="78" spans="1:10" x14ac:dyDescent="0.25">
      <c r="B78" s="41" t="s">
        <v>138</v>
      </c>
      <c r="C78" s="35">
        <v>46207</v>
      </c>
      <c r="D78" s="9" t="s">
        <v>26</v>
      </c>
      <c r="E78" s="9" t="s">
        <v>92</v>
      </c>
      <c r="F78" s="9" t="s">
        <v>120</v>
      </c>
      <c r="G78" s="9">
        <v>1</v>
      </c>
      <c r="H78" s="37">
        <v>12000</v>
      </c>
    </row>
    <row r="79" spans="1:10" x14ac:dyDescent="0.25">
      <c r="B79" s="41" t="s">
        <v>139</v>
      </c>
      <c r="C79" s="35">
        <v>46208</v>
      </c>
      <c r="D79" s="9" t="s">
        <v>28</v>
      </c>
      <c r="E79" s="9" t="s">
        <v>94</v>
      </c>
      <c r="F79" s="9" t="s">
        <v>121</v>
      </c>
      <c r="G79" s="9">
        <v>4</v>
      </c>
      <c r="H79" s="37">
        <v>2500</v>
      </c>
    </row>
    <row r="80" spans="1:10" x14ac:dyDescent="0.25">
      <c r="B80" s="41" t="s">
        <v>140</v>
      </c>
      <c r="C80" s="35">
        <v>46209</v>
      </c>
      <c r="D80" s="9" t="s">
        <v>30</v>
      </c>
      <c r="E80" s="9" t="s">
        <v>92</v>
      </c>
      <c r="F80" s="9" t="s">
        <v>119</v>
      </c>
      <c r="G80" s="9">
        <v>3</v>
      </c>
      <c r="H80" s="37">
        <v>3500</v>
      </c>
    </row>
    <row r="81" spans="2:8" x14ac:dyDescent="0.25">
      <c r="B81" s="45" t="s">
        <v>141</v>
      </c>
      <c r="C81" s="46">
        <v>46210</v>
      </c>
      <c r="D81" s="47" t="s">
        <v>101</v>
      </c>
      <c r="E81" s="47" t="s">
        <v>102</v>
      </c>
      <c r="F81" s="47" t="s">
        <v>120</v>
      </c>
      <c r="G81" s="47">
        <v>2</v>
      </c>
      <c r="H81" s="48">
        <v>2800</v>
      </c>
    </row>
    <row r="82" spans="2:8" x14ac:dyDescent="0.25">
      <c r="D82" s="5"/>
    </row>
    <row r="83" spans="2:8" x14ac:dyDescent="0.25">
      <c r="B83" s="82" t="s">
        <v>143</v>
      </c>
      <c r="C83" s="82"/>
      <c r="D83" s="82"/>
      <c r="E83" s="34" t="s">
        <v>144</v>
      </c>
    </row>
    <row r="84" spans="2:8" x14ac:dyDescent="0.25">
      <c r="B84" s="75" t="s">
        <v>149</v>
      </c>
      <c r="C84" s="75"/>
      <c r="D84" s="75"/>
      <c r="E84" s="15" t="s">
        <v>145</v>
      </c>
    </row>
    <row r="85" spans="2:8" x14ac:dyDescent="0.25">
      <c r="B85" s="75" t="s">
        <v>150</v>
      </c>
      <c r="C85" s="75"/>
      <c r="D85" s="75"/>
      <c r="E85" s="15" t="s">
        <v>146</v>
      </c>
    </row>
    <row r="86" spans="2:8" x14ac:dyDescent="0.25">
      <c r="B86" s="15" t="s">
        <v>147</v>
      </c>
      <c r="C86" s="15"/>
      <c r="D86" s="15"/>
      <c r="E86" s="33" t="s">
        <v>148</v>
      </c>
    </row>
    <row r="87" spans="2:8" x14ac:dyDescent="0.25">
      <c r="D87" s="5"/>
    </row>
    <row r="88" spans="2:8" x14ac:dyDescent="0.25">
      <c r="B88" s="42" t="s">
        <v>17</v>
      </c>
      <c r="C88" s="43" t="s">
        <v>132</v>
      </c>
      <c r="D88" s="43" t="s">
        <v>1</v>
      </c>
      <c r="E88" s="43" t="s">
        <v>89</v>
      </c>
      <c r="F88" s="43" t="s">
        <v>133</v>
      </c>
      <c r="G88" s="43" t="s">
        <v>18</v>
      </c>
      <c r="H88" s="44" t="s">
        <v>38</v>
      </c>
    </row>
    <row r="89" spans="2:8" x14ac:dyDescent="0.25">
      <c r="B89" s="41" t="s">
        <v>134</v>
      </c>
      <c r="C89" s="35">
        <v>46204</v>
      </c>
      <c r="D89" s="9" t="s">
        <v>4</v>
      </c>
      <c r="E89" s="9" t="s">
        <v>92</v>
      </c>
      <c r="F89" s="9" t="s">
        <v>119</v>
      </c>
      <c r="G89" s="9">
        <v>2</v>
      </c>
      <c r="H89" s="37">
        <v>55000</v>
      </c>
    </row>
    <row r="90" spans="2:8" x14ac:dyDescent="0.25">
      <c r="B90" s="41" t="s">
        <v>135</v>
      </c>
      <c r="C90" s="35">
        <v>46204</v>
      </c>
      <c r="D90" s="9" t="s">
        <v>5</v>
      </c>
      <c r="E90" s="9" t="s">
        <v>94</v>
      </c>
      <c r="F90" s="9" t="s">
        <v>120</v>
      </c>
      <c r="G90" s="9">
        <v>5</v>
      </c>
      <c r="H90" s="37">
        <v>700</v>
      </c>
    </row>
    <row r="91" spans="2:8" x14ac:dyDescent="0.25">
      <c r="B91" s="41" t="s">
        <v>136</v>
      </c>
      <c r="C91" s="35">
        <v>46205</v>
      </c>
      <c r="D91" s="9" t="s">
        <v>6</v>
      </c>
      <c r="E91" s="9" t="s">
        <v>94</v>
      </c>
      <c r="F91" s="9" t="s">
        <v>121</v>
      </c>
      <c r="G91" s="9">
        <v>3</v>
      </c>
      <c r="H91" s="37">
        <v>1200</v>
      </c>
    </row>
    <row r="92" spans="2:8" x14ac:dyDescent="0.25">
      <c r="B92" s="41" t="s">
        <v>137</v>
      </c>
      <c r="C92" s="35">
        <v>46206</v>
      </c>
      <c r="D92" s="9" t="s">
        <v>7</v>
      </c>
      <c r="E92" s="9" t="s">
        <v>92</v>
      </c>
      <c r="F92" s="9" t="s">
        <v>119</v>
      </c>
      <c r="G92" s="9">
        <v>2</v>
      </c>
      <c r="H92" s="37">
        <v>15000</v>
      </c>
    </row>
    <row r="93" spans="2:8" x14ac:dyDescent="0.25">
      <c r="B93" s="41" t="s">
        <v>138</v>
      </c>
      <c r="C93" s="35">
        <v>46207</v>
      </c>
      <c r="D93" s="9" t="s">
        <v>26</v>
      </c>
      <c r="E93" s="9" t="s">
        <v>92</v>
      </c>
      <c r="F93" s="9" t="s">
        <v>120</v>
      </c>
      <c r="G93" s="9">
        <v>1</v>
      </c>
      <c r="H93" s="37">
        <v>12000</v>
      </c>
    </row>
    <row r="94" spans="2:8" x14ac:dyDescent="0.25">
      <c r="B94" s="41" t="s">
        <v>139</v>
      </c>
      <c r="C94" s="35">
        <v>46208</v>
      </c>
      <c r="D94" s="9" t="s">
        <v>28</v>
      </c>
      <c r="E94" s="9" t="s">
        <v>94</v>
      </c>
      <c r="F94" s="9" t="s">
        <v>121</v>
      </c>
      <c r="G94" s="9">
        <v>4</v>
      </c>
      <c r="H94" s="37">
        <v>2500</v>
      </c>
    </row>
    <row r="95" spans="2:8" x14ac:dyDescent="0.25">
      <c r="B95" s="41" t="s">
        <v>140</v>
      </c>
      <c r="C95" s="35">
        <v>46209</v>
      </c>
      <c r="D95" s="9" t="s">
        <v>30</v>
      </c>
      <c r="E95" s="9" t="s">
        <v>92</v>
      </c>
      <c r="F95" s="9" t="s">
        <v>119</v>
      </c>
      <c r="G95" s="9">
        <v>3</v>
      </c>
      <c r="H95" s="37">
        <v>3500</v>
      </c>
    </row>
    <row r="96" spans="2:8" x14ac:dyDescent="0.25">
      <c r="B96" s="45" t="s">
        <v>141</v>
      </c>
      <c r="C96" s="46">
        <v>46210</v>
      </c>
      <c r="D96" s="47" t="s">
        <v>101</v>
      </c>
      <c r="E96" s="47" t="s">
        <v>102</v>
      </c>
      <c r="F96" s="47" t="s">
        <v>120</v>
      </c>
      <c r="G96" s="47">
        <v>2</v>
      </c>
      <c r="H96" s="48">
        <v>2800</v>
      </c>
    </row>
    <row r="97" spans="1:14" x14ac:dyDescent="0.25">
      <c r="D97" s="5"/>
    </row>
    <row r="99" spans="1:14" x14ac:dyDescent="0.25">
      <c r="A99" s="81" t="s">
        <v>115</v>
      </c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</row>
    <row r="100" spans="1:14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</row>
    <row r="102" spans="1:14" ht="24" x14ac:dyDescent="0.25">
      <c r="A102" s="31" t="s">
        <v>116</v>
      </c>
    </row>
    <row r="104" spans="1:14" x14ac:dyDescent="0.25">
      <c r="A104" s="10" t="s">
        <v>118</v>
      </c>
    </row>
    <row r="105" spans="1:14" x14ac:dyDescent="0.25">
      <c r="A105" t="s">
        <v>117</v>
      </c>
    </row>
    <row r="106" spans="1:14" x14ac:dyDescent="0.25">
      <c r="A106" t="s">
        <v>152</v>
      </c>
    </row>
    <row r="107" spans="1:14" x14ac:dyDescent="0.25">
      <c r="A107" t="s">
        <v>166</v>
      </c>
    </row>
    <row r="109" spans="1:14" x14ac:dyDescent="0.25">
      <c r="A109" s="10" t="s">
        <v>153</v>
      </c>
    </row>
    <row r="110" spans="1:14" x14ac:dyDescent="0.25">
      <c r="A110" s="32" t="s">
        <v>154</v>
      </c>
    </row>
    <row r="111" spans="1:14" x14ac:dyDescent="0.25">
      <c r="A111" s="32" t="s">
        <v>155</v>
      </c>
    </row>
    <row r="112" spans="1:14" x14ac:dyDescent="0.25">
      <c r="A112" s="32" t="s">
        <v>156</v>
      </c>
    </row>
    <row r="113" spans="1:4" x14ac:dyDescent="0.25">
      <c r="A113" s="32" t="s">
        <v>157</v>
      </c>
    </row>
    <row r="115" spans="1:4" ht="15.75" customHeight="1" x14ac:dyDescent="0.25">
      <c r="A115" s="38" t="s">
        <v>158</v>
      </c>
    </row>
    <row r="116" spans="1:4" ht="15.75" customHeight="1" x14ac:dyDescent="0.25">
      <c r="A116" s="32" t="s">
        <v>159</v>
      </c>
    </row>
    <row r="117" spans="1:4" ht="15.75" customHeight="1" x14ac:dyDescent="0.25">
      <c r="A117" s="32" t="s">
        <v>160</v>
      </c>
    </row>
    <row r="118" spans="1:4" x14ac:dyDescent="0.25">
      <c r="A118" s="32" t="s">
        <v>161</v>
      </c>
    </row>
    <row r="119" spans="1:4" x14ac:dyDescent="0.25">
      <c r="A119" s="32" t="s">
        <v>162</v>
      </c>
    </row>
    <row r="120" spans="1:4" x14ac:dyDescent="0.25">
      <c r="A120" s="32" t="s">
        <v>163</v>
      </c>
    </row>
    <row r="121" spans="1:4" x14ac:dyDescent="0.25">
      <c r="A121" s="32" t="s">
        <v>164</v>
      </c>
    </row>
    <row r="122" spans="1:4" x14ac:dyDescent="0.25">
      <c r="A122" s="32" t="s">
        <v>165</v>
      </c>
      <c r="D122" t="s">
        <v>152</v>
      </c>
    </row>
    <row r="124" spans="1:4" x14ac:dyDescent="0.25">
      <c r="A124" s="32" t="s">
        <v>177</v>
      </c>
    </row>
    <row r="125" spans="1:4" x14ac:dyDescent="0.25">
      <c r="A125" t="s">
        <v>178</v>
      </c>
    </row>
  </sheetData>
  <mergeCells count="6">
    <mergeCell ref="A1:M1"/>
    <mergeCell ref="A99:N100"/>
    <mergeCell ref="A44:M44"/>
    <mergeCell ref="B83:D83"/>
    <mergeCell ref="B84:D84"/>
    <mergeCell ref="B85:D8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D14B-C761-4088-A340-3702F0F518C2}">
  <dimension ref="A1:H20"/>
  <sheetViews>
    <sheetView topLeftCell="A24" zoomScale="98" zoomScaleNormal="98" workbookViewId="0">
      <selection sqref="A1:R52"/>
    </sheetView>
  </sheetViews>
  <sheetFormatPr defaultRowHeight="15" x14ac:dyDescent="0.25"/>
  <cols>
    <col min="4" max="4" width="13.28515625" customWidth="1"/>
    <col min="5" max="5" width="12.42578125" customWidth="1"/>
    <col min="6" max="6" width="16.5703125" customWidth="1"/>
    <col min="8" max="8" width="18.140625" customWidth="1"/>
  </cols>
  <sheetData>
    <row r="1" spans="1:8" ht="18" x14ac:dyDescent="0.25">
      <c r="A1" s="38" t="s">
        <v>167</v>
      </c>
      <c r="D1" s="2"/>
      <c r="E1" s="2"/>
      <c r="F1" s="2"/>
      <c r="G1" s="2"/>
      <c r="H1" s="2"/>
    </row>
    <row r="2" spans="1:8" x14ac:dyDescent="0.25">
      <c r="A2" t="s">
        <v>168</v>
      </c>
      <c r="D2" s="1"/>
      <c r="E2" s="1"/>
      <c r="F2" s="1"/>
      <c r="G2" s="1"/>
      <c r="H2" s="1"/>
    </row>
    <row r="3" spans="1:8" x14ac:dyDescent="0.25">
      <c r="D3" s="1"/>
      <c r="E3" s="1"/>
      <c r="F3" s="1"/>
      <c r="G3" s="1"/>
      <c r="H3" s="1"/>
    </row>
    <row r="4" spans="1:8" ht="18" x14ac:dyDescent="0.25">
      <c r="A4" s="38" t="s">
        <v>169</v>
      </c>
      <c r="D4" s="1"/>
      <c r="E4" s="1"/>
      <c r="F4" s="1"/>
      <c r="G4" s="1"/>
      <c r="H4" s="1"/>
    </row>
    <row r="5" spans="1:8" x14ac:dyDescent="0.25">
      <c r="A5" t="s">
        <v>170</v>
      </c>
      <c r="D5" s="1"/>
      <c r="E5" s="1"/>
      <c r="F5" s="1"/>
      <c r="G5" s="1"/>
      <c r="H5" s="1"/>
    </row>
    <row r="6" spans="1:8" x14ac:dyDescent="0.25">
      <c r="A6" s="32" t="s">
        <v>171</v>
      </c>
      <c r="D6" s="1"/>
      <c r="E6" s="1"/>
      <c r="F6" s="1"/>
      <c r="G6" s="1"/>
      <c r="H6" s="1"/>
    </row>
    <row r="7" spans="1:8" x14ac:dyDescent="0.25">
      <c r="A7" s="32" t="s">
        <v>172</v>
      </c>
    </row>
    <row r="8" spans="1:8" x14ac:dyDescent="0.25">
      <c r="A8" s="32" t="s">
        <v>173</v>
      </c>
    </row>
    <row r="9" spans="1:8" x14ac:dyDescent="0.25">
      <c r="A9" s="32" t="s">
        <v>174</v>
      </c>
    </row>
    <row r="10" spans="1:8" x14ac:dyDescent="0.25">
      <c r="A10" s="32" t="s">
        <v>175</v>
      </c>
    </row>
    <row r="12" spans="1:8" x14ac:dyDescent="0.25">
      <c r="D12" s="19" t="s">
        <v>88</v>
      </c>
      <c r="E12" s="19" t="s">
        <v>1</v>
      </c>
      <c r="F12" s="19" t="s">
        <v>18</v>
      </c>
      <c r="G12" s="19" t="s">
        <v>90</v>
      </c>
      <c r="H12" s="19" t="s">
        <v>176</v>
      </c>
    </row>
    <row r="13" spans="1:8" x14ac:dyDescent="0.25">
      <c r="D13" s="9" t="s">
        <v>91</v>
      </c>
      <c r="E13" s="9" t="s">
        <v>4</v>
      </c>
      <c r="F13" s="9">
        <v>5</v>
      </c>
      <c r="G13" s="9">
        <v>50000</v>
      </c>
      <c r="H13" s="9">
        <v>8000</v>
      </c>
    </row>
    <row r="14" spans="1:8" x14ac:dyDescent="0.25">
      <c r="D14" s="9" t="s">
        <v>93</v>
      </c>
      <c r="E14" s="9" t="s">
        <v>5</v>
      </c>
      <c r="F14" s="9">
        <v>25</v>
      </c>
      <c r="G14" s="9">
        <v>3500</v>
      </c>
      <c r="H14" s="9">
        <v>700</v>
      </c>
    </row>
    <row r="15" spans="1:8" x14ac:dyDescent="0.25">
      <c r="D15" s="9" t="s">
        <v>95</v>
      </c>
      <c r="E15" s="9" t="s">
        <v>6</v>
      </c>
      <c r="F15" s="9">
        <v>15</v>
      </c>
      <c r="G15" s="9">
        <v>6000</v>
      </c>
      <c r="H15" s="9">
        <v>1200</v>
      </c>
    </row>
    <row r="16" spans="1:8" x14ac:dyDescent="0.25">
      <c r="D16" s="9" t="s">
        <v>96</v>
      </c>
      <c r="E16" s="9" t="s">
        <v>7</v>
      </c>
      <c r="F16" s="9">
        <v>8</v>
      </c>
      <c r="G16" s="9">
        <v>28000</v>
      </c>
      <c r="H16" s="9">
        <v>5000</v>
      </c>
    </row>
    <row r="17" spans="4:8" x14ac:dyDescent="0.25">
      <c r="D17" s="9" t="s">
        <v>97</v>
      </c>
      <c r="E17" s="9" t="s">
        <v>26</v>
      </c>
      <c r="F17" s="9">
        <v>4</v>
      </c>
      <c r="G17" s="9">
        <v>18000</v>
      </c>
      <c r="H17" s="9">
        <v>3200</v>
      </c>
    </row>
    <row r="18" spans="4:8" x14ac:dyDescent="0.25">
      <c r="D18" s="9" t="s">
        <v>98</v>
      </c>
      <c r="E18" s="9" t="s">
        <v>28</v>
      </c>
      <c r="F18" s="9">
        <v>10</v>
      </c>
      <c r="G18" s="9">
        <v>9000</v>
      </c>
      <c r="H18" s="9">
        <v>1500</v>
      </c>
    </row>
    <row r="19" spans="4:8" x14ac:dyDescent="0.25">
      <c r="D19" s="9" t="s">
        <v>99</v>
      </c>
      <c r="E19" s="9" t="s">
        <v>41</v>
      </c>
      <c r="F19" s="9">
        <v>12</v>
      </c>
      <c r="G19" s="9">
        <v>12000</v>
      </c>
      <c r="H19" s="9">
        <v>2500</v>
      </c>
    </row>
    <row r="20" spans="4:8" x14ac:dyDescent="0.25">
      <c r="D20" s="9" t="s">
        <v>100</v>
      </c>
      <c r="E20" s="9" t="s">
        <v>32</v>
      </c>
      <c r="F20" s="9">
        <v>6</v>
      </c>
      <c r="G20" s="9">
        <v>24000</v>
      </c>
      <c r="H20" s="9"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362-68B4-43EE-A3F0-DB9B638DAF96}">
  <dimension ref="C2:G10"/>
  <sheetViews>
    <sheetView workbookViewId="0">
      <selection activeCell="C2" sqref="C2:G10"/>
    </sheetView>
  </sheetViews>
  <sheetFormatPr defaultRowHeight="15" x14ac:dyDescent="0.25"/>
  <cols>
    <col min="3" max="3" width="12.42578125" customWidth="1"/>
    <col min="4" max="4" width="14.140625" customWidth="1"/>
  </cols>
  <sheetData>
    <row r="2" spans="3:7" x14ac:dyDescent="0.25">
      <c r="C2" s="19" t="s">
        <v>88</v>
      </c>
      <c r="D2" s="19" t="s">
        <v>1</v>
      </c>
      <c r="E2" s="19" t="s">
        <v>18</v>
      </c>
      <c r="F2" s="19" t="s">
        <v>90</v>
      </c>
      <c r="G2" s="19" t="s">
        <v>176</v>
      </c>
    </row>
    <row r="3" spans="3:7" x14ac:dyDescent="0.25">
      <c r="C3" s="9" t="s">
        <v>91</v>
      </c>
      <c r="D3" s="9" t="s">
        <v>4</v>
      </c>
      <c r="E3" s="9">
        <v>4</v>
      </c>
      <c r="F3" s="9">
        <v>45000</v>
      </c>
      <c r="G3" s="9">
        <v>7000</v>
      </c>
    </row>
    <row r="4" spans="3:7" x14ac:dyDescent="0.25">
      <c r="C4" s="9" t="s">
        <v>93</v>
      </c>
      <c r="D4" s="9" t="s">
        <v>5</v>
      </c>
      <c r="E4" s="9">
        <v>30</v>
      </c>
      <c r="F4" s="9">
        <v>4200</v>
      </c>
      <c r="G4" s="9">
        <v>800</v>
      </c>
    </row>
    <row r="5" spans="3:7" x14ac:dyDescent="0.25">
      <c r="C5" s="9" t="s">
        <v>95</v>
      </c>
      <c r="D5" s="9" t="s">
        <v>6</v>
      </c>
      <c r="E5" s="9">
        <v>12</v>
      </c>
      <c r="F5" s="9">
        <v>5500</v>
      </c>
      <c r="G5" s="9">
        <v>1000</v>
      </c>
    </row>
    <row r="6" spans="3:7" x14ac:dyDescent="0.25">
      <c r="C6" s="9" t="s">
        <v>96</v>
      </c>
      <c r="D6" s="9" t="s">
        <v>7</v>
      </c>
      <c r="E6" s="9">
        <v>9</v>
      </c>
      <c r="F6" s="9">
        <v>30000</v>
      </c>
      <c r="G6" s="9">
        <v>5500</v>
      </c>
    </row>
    <row r="7" spans="3:7" x14ac:dyDescent="0.25">
      <c r="C7" s="9" t="s">
        <v>97</v>
      </c>
      <c r="D7" s="9" t="s">
        <v>26</v>
      </c>
      <c r="E7" s="9">
        <v>5</v>
      </c>
      <c r="F7" s="9">
        <v>20000</v>
      </c>
      <c r="G7" s="9">
        <v>3500</v>
      </c>
    </row>
    <row r="8" spans="3:7" x14ac:dyDescent="0.25">
      <c r="C8" s="9" t="s">
        <v>98</v>
      </c>
      <c r="D8" s="9" t="s">
        <v>28</v>
      </c>
      <c r="E8" s="9">
        <v>8</v>
      </c>
      <c r="F8" s="9">
        <v>8500</v>
      </c>
      <c r="G8" s="9">
        <v>1400</v>
      </c>
    </row>
    <row r="9" spans="3:7" x14ac:dyDescent="0.25">
      <c r="C9" s="9" t="s">
        <v>99</v>
      </c>
      <c r="D9" s="9" t="s">
        <v>41</v>
      </c>
      <c r="E9" s="9">
        <v>10</v>
      </c>
      <c r="F9" s="9">
        <v>11000</v>
      </c>
      <c r="G9" s="9">
        <v>2200</v>
      </c>
    </row>
    <row r="10" spans="3:7" x14ac:dyDescent="0.25">
      <c r="C10" s="9" t="s">
        <v>100</v>
      </c>
      <c r="D10" s="9" t="s">
        <v>32</v>
      </c>
      <c r="E10" s="9">
        <v>7</v>
      </c>
      <c r="F10" s="9">
        <v>26000</v>
      </c>
      <c r="G10" s="9">
        <v>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D17-0433-48D5-8AC1-7FCF493C6050}">
  <dimension ref="C2:G10"/>
  <sheetViews>
    <sheetView workbookViewId="0">
      <selection activeCell="C2" sqref="C2:G10"/>
    </sheetView>
  </sheetViews>
  <sheetFormatPr defaultRowHeight="15" x14ac:dyDescent="0.25"/>
  <cols>
    <col min="3" max="3" width="11.85546875" customWidth="1"/>
    <col min="4" max="4" width="17.5703125" customWidth="1"/>
  </cols>
  <sheetData>
    <row r="2" spans="3:7" x14ac:dyDescent="0.25">
      <c r="C2" s="19" t="s">
        <v>88</v>
      </c>
      <c r="D2" s="19" t="s">
        <v>1</v>
      </c>
      <c r="E2" s="19" t="s">
        <v>18</v>
      </c>
      <c r="F2" s="19" t="s">
        <v>90</v>
      </c>
      <c r="G2" s="19" t="s">
        <v>176</v>
      </c>
    </row>
    <row r="3" spans="3:7" x14ac:dyDescent="0.25">
      <c r="C3" s="9" t="s">
        <v>91</v>
      </c>
      <c r="D3" s="9" t="s">
        <v>4</v>
      </c>
      <c r="E3" s="9">
        <v>6</v>
      </c>
      <c r="F3" s="9">
        <v>55000</v>
      </c>
      <c r="G3" s="9">
        <v>9000</v>
      </c>
    </row>
    <row r="4" spans="3:7" x14ac:dyDescent="0.25">
      <c r="C4" s="9" t="s">
        <v>93</v>
      </c>
      <c r="D4" s="9" t="s">
        <v>5</v>
      </c>
      <c r="E4" s="9">
        <v>28</v>
      </c>
      <c r="F4" s="9">
        <v>3800</v>
      </c>
      <c r="G4" s="9">
        <v>750</v>
      </c>
    </row>
    <row r="5" spans="3:7" x14ac:dyDescent="0.25">
      <c r="C5" s="9" t="s">
        <v>95</v>
      </c>
      <c r="D5" s="9" t="s">
        <v>6</v>
      </c>
      <c r="E5" s="9">
        <v>18</v>
      </c>
      <c r="F5" s="9">
        <v>7000</v>
      </c>
      <c r="G5" s="9">
        <v>1300</v>
      </c>
    </row>
    <row r="6" spans="3:7" x14ac:dyDescent="0.25">
      <c r="C6" s="9" t="s">
        <v>96</v>
      </c>
      <c r="D6" s="9" t="s">
        <v>7</v>
      </c>
      <c r="E6" s="9">
        <v>7</v>
      </c>
      <c r="F6" s="9">
        <v>25000</v>
      </c>
      <c r="G6" s="9">
        <v>4800</v>
      </c>
    </row>
    <row r="7" spans="3:7" x14ac:dyDescent="0.25">
      <c r="C7" s="9" t="s">
        <v>97</v>
      </c>
      <c r="D7" s="9" t="s">
        <v>26</v>
      </c>
      <c r="E7" s="9">
        <v>6</v>
      </c>
      <c r="F7" s="9">
        <v>22000</v>
      </c>
      <c r="G7" s="9">
        <v>3800</v>
      </c>
    </row>
    <row r="8" spans="3:7" x14ac:dyDescent="0.25">
      <c r="C8" s="9" t="s">
        <v>98</v>
      </c>
      <c r="D8" s="9" t="s">
        <v>28</v>
      </c>
      <c r="E8" s="9">
        <v>12</v>
      </c>
      <c r="F8" s="9">
        <v>10000</v>
      </c>
      <c r="G8" s="9">
        <v>1800</v>
      </c>
    </row>
    <row r="9" spans="3:7" x14ac:dyDescent="0.25">
      <c r="C9" s="9" t="s">
        <v>99</v>
      </c>
      <c r="D9" s="9" t="s">
        <v>41</v>
      </c>
      <c r="E9" s="9">
        <v>15</v>
      </c>
      <c r="F9" s="9">
        <v>13500</v>
      </c>
      <c r="G9" s="9">
        <v>2700</v>
      </c>
    </row>
    <row r="10" spans="3:7" x14ac:dyDescent="0.25">
      <c r="C10" s="9" t="s">
        <v>100</v>
      </c>
      <c r="D10" s="9" t="s">
        <v>32</v>
      </c>
      <c r="E10" s="9">
        <v>8</v>
      </c>
      <c r="F10" s="9">
        <v>28000</v>
      </c>
      <c r="G10" s="9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0812-4090-4C02-BA54-639B7A8F9C82}">
  <dimension ref="A1"/>
  <sheetViews>
    <sheetView workbookViewId="0">
      <selection activeCell="I5" sqref="I5:I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2465-2B91-4535-958C-8FB63B2C883E}">
  <dimension ref="A1:R91"/>
  <sheetViews>
    <sheetView tabSelected="1" workbookViewId="0">
      <selection activeCell="E67" sqref="E67"/>
    </sheetView>
  </sheetViews>
  <sheetFormatPr defaultRowHeight="15" x14ac:dyDescent="0.25"/>
  <cols>
    <col min="1" max="1" width="12.42578125" customWidth="1"/>
    <col min="2" max="2" width="14.7109375" customWidth="1"/>
    <col min="3" max="3" width="15.140625" customWidth="1"/>
    <col min="4" max="4" width="20.85546875" customWidth="1"/>
    <col min="5" max="5" width="25.28515625" customWidth="1"/>
    <col min="6" max="7" width="18.85546875" customWidth="1"/>
    <col min="8" max="8" width="24.85546875" customWidth="1"/>
    <col min="9" max="9" width="21.7109375" customWidth="1"/>
    <col min="10" max="10" width="14.85546875" customWidth="1"/>
    <col min="13" max="13" width="18.140625" customWidth="1"/>
    <col min="14" max="14" width="18.42578125" customWidth="1"/>
    <col min="15" max="15" width="26.85546875" customWidth="1"/>
    <col min="16" max="16" width="13.85546875" customWidth="1"/>
  </cols>
  <sheetData>
    <row r="1" spans="1:12" ht="15" customHeight="1" x14ac:dyDescent="0.25">
      <c r="A1" s="74" t="s">
        <v>315</v>
      </c>
      <c r="B1" s="74"/>
      <c r="C1" s="74"/>
      <c r="D1" s="74"/>
      <c r="E1" s="74"/>
      <c r="F1" s="74"/>
      <c r="G1" s="74"/>
      <c r="H1" s="74"/>
      <c r="I1" s="74"/>
      <c r="J1" s="74"/>
    </row>
    <row r="2" spans="1:12" ht="1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</row>
    <row r="3" spans="1:12" ht="14.25" customHeight="1" x14ac:dyDescent="0.25">
      <c r="A3" s="31"/>
    </row>
    <row r="4" spans="1:12" ht="24" x14ac:dyDescent="0.25">
      <c r="A4" s="31" t="s">
        <v>419</v>
      </c>
    </row>
    <row r="5" spans="1:12" ht="15.75" x14ac:dyDescent="0.25">
      <c r="A5" s="56" t="s">
        <v>418</v>
      </c>
    </row>
    <row r="7" spans="1:12" ht="18" x14ac:dyDescent="0.25">
      <c r="A7" s="77" t="s">
        <v>143</v>
      </c>
      <c r="B7" s="77"/>
      <c r="C7" s="77"/>
      <c r="D7" s="77"/>
      <c r="E7" s="77"/>
      <c r="F7" s="77"/>
      <c r="G7" s="77"/>
      <c r="H7" s="77"/>
      <c r="I7" s="8" t="s">
        <v>324</v>
      </c>
      <c r="L7" s="38" t="s">
        <v>339</v>
      </c>
    </row>
    <row r="8" spans="1:12" x14ac:dyDescent="0.25">
      <c r="A8" s="76" t="s">
        <v>325</v>
      </c>
      <c r="B8" s="76"/>
      <c r="C8" s="76"/>
      <c r="D8" s="76"/>
      <c r="E8" s="76"/>
      <c r="F8" s="76"/>
      <c r="G8" s="76"/>
      <c r="H8" s="76"/>
      <c r="I8" s="15" t="s">
        <v>326</v>
      </c>
      <c r="L8" t="s">
        <v>340</v>
      </c>
    </row>
    <row r="9" spans="1:12" x14ac:dyDescent="0.25">
      <c r="A9" s="76" t="s">
        <v>327</v>
      </c>
      <c r="B9" s="76"/>
      <c r="C9" s="76"/>
      <c r="D9" s="76"/>
      <c r="E9" s="76"/>
      <c r="F9" s="76"/>
      <c r="G9" s="76"/>
      <c r="H9" s="76"/>
      <c r="I9" s="15" t="s">
        <v>328</v>
      </c>
      <c r="L9" t="s">
        <v>341</v>
      </c>
    </row>
    <row r="10" spans="1:12" x14ac:dyDescent="0.25">
      <c r="A10" s="76" t="s">
        <v>329</v>
      </c>
      <c r="B10" s="76"/>
      <c r="C10" s="76"/>
      <c r="D10" s="76"/>
      <c r="E10" s="76"/>
      <c r="F10" s="76"/>
      <c r="G10" s="76"/>
      <c r="H10" s="76"/>
      <c r="I10" s="15" t="s">
        <v>330</v>
      </c>
      <c r="L10" t="s">
        <v>342</v>
      </c>
    </row>
    <row r="11" spans="1:12" x14ac:dyDescent="0.25">
      <c r="A11" s="76" t="s">
        <v>331</v>
      </c>
      <c r="B11" s="76"/>
      <c r="C11" s="76"/>
      <c r="D11" s="76"/>
      <c r="E11" s="76"/>
      <c r="F11" s="76"/>
      <c r="G11" s="76"/>
      <c r="H11" s="76"/>
      <c r="I11" s="15" t="s">
        <v>332</v>
      </c>
      <c r="L11" t="s">
        <v>343</v>
      </c>
    </row>
    <row r="12" spans="1:12" x14ac:dyDescent="0.25">
      <c r="A12" s="76" t="s">
        <v>333</v>
      </c>
      <c r="B12" s="76"/>
      <c r="C12" s="76"/>
      <c r="D12" s="76"/>
      <c r="E12" s="76"/>
      <c r="F12" s="76"/>
      <c r="G12" s="76"/>
      <c r="H12" s="76"/>
      <c r="I12" s="15" t="s">
        <v>334</v>
      </c>
      <c r="L12" t="s">
        <v>344</v>
      </c>
    </row>
    <row r="13" spans="1:12" x14ac:dyDescent="0.25">
      <c r="A13" s="76" t="s">
        <v>335</v>
      </c>
      <c r="B13" s="76"/>
      <c r="C13" s="76"/>
      <c r="D13" s="76"/>
      <c r="E13" s="76"/>
      <c r="F13" s="76"/>
      <c r="G13" s="76"/>
      <c r="H13" s="76"/>
      <c r="I13" s="15" t="s">
        <v>336</v>
      </c>
      <c r="L13" t="s">
        <v>345</v>
      </c>
    </row>
    <row r="14" spans="1:12" x14ac:dyDescent="0.25">
      <c r="A14" s="76" t="s">
        <v>337</v>
      </c>
      <c r="B14" s="76"/>
      <c r="C14" s="76"/>
      <c r="D14" s="76"/>
      <c r="E14" s="76"/>
      <c r="F14" s="76"/>
      <c r="G14" s="76"/>
      <c r="H14" s="76"/>
      <c r="I14" s="15" t="s">
        <v>338</v>
      </c>
      <c r="L14" s="32"/>
    </row>
    <row r="15" spans="1:12" x14ac:dyDescent="0.25">
      <c r="L15" s="32"/>
    </row>
    <row r="16" spans="1:12" x14ac:dyDescent="0.25">
      <c r="C16" s="26" t="s">
        <v>326</v>
      </c>
      <c r="D16" s="26" t="s">
        <v>328</v>
      </c>
      <c r="E16" s="26" t="s">
        <v>330</v>
      </c>
      <c r="F16" s="26" t="s">
        <v>332</v>
      </c>
      <c r="G16" s="26" t="s">
        <v>334</v>
      </c>
      <c r="H16" s="26" t="s">
        <v>336</v>
      </c>
      <c r="I16" s="26" t="s">
        <v>338</v>
      </c>
      <c r="J16" s="7"/>
    </row>
    <row r="17" spans="1:10" x14ac:dyDescent="0.25">
      <c r="C17" s="15"/>
      <c r="D17" s="15"/>
      <c r="E17" s="15"/>
      <c r="F17" s="15"/>
      <c r="G17" s="53"/>
      <c r="H17" s="15"/>
      <c r="I17" s="15"/>
    </row>
    <row r="18" spans="1:10" x14ac:dyDescent="0.25">
      <c r="C18" s="15"/>
      <c r="D18" s="15"/>
      <c r="E18" s="15"/>
      <c r="F18" s="15"/>
      <c r="G18" s="53"/>
      <c r="H18" s="15"/>
      <c r="I18" s="15"/>
    </row>
    <row r="19" spans="1:10" x14ac:dyDescent="0.25">
      <c r="C19" s="15"/>
      <c r="D19" s="15"/>
      <c r="E19" s="15"/>
      <c r="F19" s="15"/>
      <c r="G19" s="53"/>
      <c r="H19" s="15"/>
      <c r="I19" s="15"/>
    </row>
    <row r="20" spans="1:10" x14ac:dyDescent="0.25">
      <c r="C20" s="15"/>
      <c r="D20" s="15"/>
      <c r="E20" s="15"/>
      <c r="F20" s="15"/>
      <c r="G20" s="53"/>
      <c r="H20" s="15"/>
      <c r="I20" s="15"/>
    </row>
    <row r="21" spans="1:10" x14ac:dyDescent="0.25">
      <c r="C21" s="15"/>
      <c r="D21" s="15"/>
      <c r="E21" s="15"/>
      <c r="F21" s="15"/>
      <c r="G21" s="53"/>
      <c r="H21" s="15"/>
      <c r="I21" s="15"/>
    </row>
    <row r="22" spans="1:10" x14ac:dyDescent="0.25">
      <c r="C22" s="15"/>
      <c r="D22" s="15"/>
      <c r="E22" s="15"/>
      <c r="F22" s="15"/>
      <c r="G22" s="53"/>
      <c r="H22" s="15"/>
      <c r="I22" s="15"/>
    </row>
    <row r="23" spans="1:10" x14ac:dyDescent="0.25">
      <c r="C23" s="15"/>
      <c r="D23" s="15"/>
      <c r="E23" s="15"/>
      <c r="F23" s="15"/>
      <c r="G23" s="53"/>
      <c r="H23" s="15"/>
      <c r="I23" s="15"/>
    </row>
    <row r="24" spans="1:10" x14ac:dyDescent="0.25">
      <c r="C24" s="15"/>
      <c r="D24" s="15"/>
      <c r="E24" s="15"/>
      <c r="F24" s="15"/>
      <c r="G24" s="53"/>
      <c r="H24" s="15"/>
      <c r="I24" s="15"/>
    </row>
    <row r="25" spans="1:10" x14ac:dyDescent="0.25">
      <c r="C25" s="15"/>
      <c r="D25" s="15"/>
      <c r="E25" s="15"/>
      <c r="F25" s="15"/>
      <c r="G25" s="15"/>
      <c r="H25" s="15"/>
      <c r="I25" s="15"/>
    </row>
    <row r="26" spans="1:10" x14ac:dyDescent="0.25">
      <c r="C26" s="15"/>
      <c r="D26" s="15"/>
      <c r="E26" s="15"/>
      <c r="F26" s="15"/>
      <c r="G26" s="15"/>
      <c r="H26" s="15"/>
      <c r="I26" s="15"/>
    </row>
    <row r="29" spans="1:10" ht="15" customHeight="1" x14ac:dyDescent="0.25">
      <c r="A29" s="74" t="s">
        <v>316</v>
      </c>
      <c r="B29" s="74"/>
      <c r="C29" s="74"/>
      <c r="D29" s="74"/>
      <c r="E29" s="74"/>
      <c r="F29" s="74"/>
      <c r="G29" s="74"/>
      <c r="H29" s="74"/>
      <c r="I29" s="74"/>
      <c r="J29" s="74"/>
    </row>
    <row r="30" spans="1:10" ht="15" customHeight="1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</row>
    <row r="32" spans="1:10" ht="24" x14ac:dyDescent="0.25">
      <c r="A32" s="31" t="s">
        <v>420</v>
      </c>
    </row>
    <row r="33" spans="1:16" x14ac:dyDescent="0.25">
      <c r="A33" t="s">
        <v>421</v>
      </c>
    </row>
    <row r="35" spans="1:16" ht="24" x14ac:dyDescent="0.25">
      <c r="A35" s="31" t="s">
        <v>346</v>
      </c>
      <c r="G35" s="31" t="s">
        <v>351</v>
      </c>
    </row>
    <row r="36" spans="1:16" x14ac:dyDescent="0.25">
      <c r="A36" s="10" t="s">
        <v>347</v>
      </c>
      <c r="G36" s="32" t="s">
        <v>352</v>
      </c>
    </row>
    <row r="37" spans="1:16" x14ac:dyDescent="0.25">
      <c r="A37" s="10" t="s">
        <v>348</v>
      </c>
      <c r="G37" s="32" t="s">
        <v>353</v>
      </c>
    </row>
    <row r="38" spans="1:16" x14ac:dyDescent="0.25">
      <c r="A38" s="10" t="s">
        <v>349</v>
      </c>
      <c r="G38" s="32" t="s">
        <v>354</v>
      </c>
    </row>
    <row r="39" spans="1:16" x14ac:dyDescent="0.25">
      <c r="A39" s="10" t="s">
        <v>350</v>
      </c>
      <c r="G39" s="32" t="s">
        <v>355</v>
      </c>
    </row>
    <row r="40" spans="1:16" x14ac:dyDescent="0.25">
      <c r="A40" t="s">
        <v>390</v>
      </c>
      <c r="G40" s="32" t="s">
        <v>356</v>
      </c>
    </row>
    <row r="41" spans="1:16" x14ac:dyDescent="0.25">
      <c r="A41" t="s">
        <v>460</v>
      </c>
      <c r="G41" s="32" t="s">
        <v>357</v>
      </c>
    </row>
    <row r="42" spans="1:16" x14ac:dyDescent="0.25">
      <c r="A42" s="10"/>
      <c r="G42" s="32" t="s">
        <v>358</v>
      </c>
    </row>
    <row r="45" spans="1:16" x14ac:dyDescent="0.25">
      <c r="B45" s="2"/>
      <c r="C45" s="8" t="s">
        <v>205</v>
      </c>
      <c r="D45" s="8" t="s">
        <v>359</v>
      </c>
      <c r="E45" s="8" t="s">
        <v>378</v>
      </c>
      <c r="F45" s="17" t="s">
        <v>360</v>
      </c>
      <c r="G45" s="8" t="s">
        <v>371</v>
      </c>
      <c r="H45" s="8" t="s">
        <v>372</v>
      </c>
      <c r="I45" s="72" t="s">
        <v>389</v>
      </c>
      <c r="J45" s="17" t="s">
        <v>391</v>
      </c>
      <c r="M45" s="8" t="s">
        <v>205</v>
      </c>
      <c r="N45" s="8" t="s">
        <v>206</v>
      </c>
      <c r="O45" s="8" t="s">
        <v>207</v>
      </c>
      <c r="P45" s="17" t="s">
        <v>461</v>
      </c>
    </row>
    <row r="46" spans="1:16" x14ac:dyDescent="0.25">
      <c r="B46" s="5"/>
      <c r="C46" s="9" t="s">
        <v>211</v>
      </c>
      <c r="D46" s="9" t="s">
        <v>361</v>
      </c>
      <c r="E46" s="9" t="s">
        <v>379</v>
      </c>
      <c r="F46" s="16"/>
      <c r="G46" s="16"/>
      <c r="H46" s="16"/>
      <c r="I46" s="73"/>
      <c r="J46" s="16"/>
      <c r="M46" s="9">
        <v>101</v>
      </c>
      <c r="N46" s="9" t="s">
        <v>423</v>
      </c>
      <c r="O46" s="9" t="s">
        <v>422</v>
      </c>
      <c r="P46" s="15"/>
    </row>
    <row r="47" spans="1:16" x14ac:dyDescent="0.25">
      <c r="B47" s="5"/>
      <c r="C47" s="9" t="s">
        <v>215</v>
      </c>
      <c r="D47" s="9" t="s">
        <v>362</v>
      </c>
      <c r="E47" s="9" t="s">
        <v>380</v>
      </c>
      <c r="F47" s="16"/>
      <c r="G47" s="16"/>
      <c r="H47" s="16"/>
      <c r="I47" s="73"/>
      <c r="J47" s="16"/>
      <c r="M47" s="9">
        <v>102</v>
      </c>
      <c r="N47" s="9" t="s">
        <v>361</v>
      </c>
      <c r="O47" s="9" t="s">
        <v>183</v>
      </c>
      <c r="P47" s="15"/>
    </row>
    <row r="48" spans="1:16" x14ac:dyDescent="0.25">
      <c r="B48" s="5"/>
      <c r="C48" s="9" t="s">
        <v>220</v>
      </c>
      <c r="D48" s="9" t="s">
        <v>363</v>
      </c>
      <c r="E48" s="9" t="s">
        <v>381</v>
      </c>
      <c r="F48" s="16"/>
      <c r="G48" s="16"/>
      <c r="H48" s="16"/>
      <c r="I48" s="73"/>
      <c r="J48" s="16"/>
      <c r="M48" s="9">
        <v>103</v>
      </c>
      <c r="N48" s="9" t="s">
        <v>364</v>
      </c>
      <c r="O48" s="9" t="s">
        <v>424</v>
      </c>
      <c r="P48" s="15"/>
    </row>
    <row r="49" spans="1:18" x14ac:dyDescent="0.25">
      <c r="B49" s="5"/>
      <c r="C49" s="9" t="s">
        <v>225</v>
      </c>
      <c r="D49" s="9" t="s">
        <v>364</v>
      </c>
      <c r="E49" s="9" t="s">
        <v>382</v>
      </c>
      <c r="F49" s="16"/>
      <c r="G49" s="16"/>
      <c r="H49" s="16"/>
      <c r="I49" s="73"/>
      <c r="J49" s="16"/>
      <c r="M49" s="9">
        <v>104</v>
      </c>
      <c r="N49" s="9" t="s">
        <v>426</v>
      </c>
      <c r="O49" s="9" t="s">
        <v>425</v>
      </c>
      <c r="P49" s="15"/>
    </row>
    <row r="50" spans="1:18" x14ac:dyDescent="0.25">
      <c r="B50" s="5"/>
      <c r="C50" s="9" t="s">
        <v>230</v>
      </c>
      <c r="D50" s="9" t="s">
        <v>365</v>
      </c>
      <c r="E50" s="9" t="s">
        <v>383</v>
      </c>
      <c r="F50" s="16"/>
      <c r="G50" s="16"/>
      <c r="H50" s="16"/>
      <c r="I50" s="73"/>
      <c r="J50" s="16"/>
      <c r="M50" s="9">
        <v>105</v>
      </c>
      <c r="N50" s="9" t="s">
        <v>428</v>
      </c>
      <c r="O50" s="9" t="s">
        <v>427</v>
      </c>
      <c r="P50" s="15"/>
    </row>
    <row r="51" spans="1:18" x14ac:dyDescent="0.25">
      <c r="B51" s="5"/>
      <c r="C51" s="9" t="s">
        <v>373</v>
      </c>
      <c r="D51" s="9" t="s">
        <v>366</v>
      </c>
      <c r="E51" s="9" t="s">
        <v>384</v>
      </c>
      <c r="F51" s="16"/>
      <c r="G51" s="16"/>
      <c r="H51" s="16"/>
      <c r="I51" s="73"/>
      <c r="J51" s="16"/>
      <c r="M51" s="9">
        <v>106</v>
      </c>
      <c r="N51" s="9" t="s">
        <v>430</v>
      </c>
      <c r="O51" s="9" t="s">
        <v>429</v>
      </c>
      <c r="P51" s="15"/>
    </row>
    <row r="52" spans="1:18" x14ac:dyDescent="0.25">
      <c r="B52" s="5"/>
      <c r="C52" s="9" t="s">
        <v>374</v>
      </c>
      <c r="D52" s="9" t="s">
        <v>367</v>
      </c>
      <c r="E52" s="9" t="s">
        <v>385</v>
      </c>
      <c r="F52" s="16"/>
      <c r="G52" s="16"/>
      <c r="H52" s="16"/>
      <c r="I52" s="73"/>
      <c r="J52" s="16"/>
      <c r="M52" s="9">
        <v>107</v>
      </c>
      <c r="N52" s="9" t="s">
        <v>432</v>
      </c>
      <c r="O52" s="9" t="s">
        <v>431</v>
      </c>
      <c r="P52" s="15"/>
    </row>
    <row r="53" spans="1:18" x14ac:dyDescent="0.25">
      <c r="B53" s="5"/>
      <c r="C53" s="9" t="s">
        <v>375</v>
      </c>
      <c r="D53" s="9" t="s">
        <v>368</v>
      </c>
      <c r="E53" s="9" t="s">
        <v>386</v>
      </c>
      <c r="F53" s="16"/>
      <c r="G53" s="16"/>
      <c r="H53" s="16"/>
      <c r="I53" s="73"/>
      <c r="J53" s="16"/>
      <c r="M53" s="9">
        <v>108</v>
      </c>
      <c r="N53" s="9" t="s">
        <v>433</v>
      </c>
      <c r="O53" s="9" t="s">
        <v>229</v>
      </c>
      <c r="P53" s="15"/>
    </row>
    <row r="54" spans="1:18" x14ac:dyDescent="0.25">
      <c r="B54" s="5"/>
      <c r="C54" s="9" t="s">
        <v>376</v>
      </c>
      <c r="D54" s="9" t="s">
        <v>369</v>
      </c>
      <c r="E54" s="9" t="s">
        <v>387</v>
      </c>
      <c r="F54" s="16"/>
      <c r="G54" s="16"/>
      <c r="H54" s="16"/>
      <c r="I54" s="73"/>
      <c r="J54" s="16"/>
      <c r="M54" s="9">
        <v>109</v>
      </c>
      <c r="N54" s="9" t="s">
        <v>435</v>
      </c>
      <c r="O54" s="9" t="s">
        <v>434</v>
      </c>
      <c r="P54" s="15"/>
    </row>
    <row r="55" spans="1:18" x14ac:dyDescent="0.25">
      <c r="B55" s="5"/>
      <c r="C55" s="9" t="s">
        <v>377</v>
      </c>
      <c r="D55" s="9" t="s">
        <v>370</v>
      </c>
      <c r="E55" s="9" t="s">
        <v>388</v>
      </c>
      <c r="F55" s="16"/>
      <c r="G55" s="16"/>
      <c r="H55" s="16"/>
      <c r="I55" s="73"/>
      <c r="J55" s="16"/>
      <c r="M55" s="9">
        <v>110</v>
      </c>
      <c r="N55" s="9" t="s">
        <v>437</v>
      </c>
      <c r="O55" s="9" t="s">
        <v>436</v>
      </c>
      <c r="P55" s="15"/>
    </row>
    <row r="58" spans="1:18" ht="15" customHeight="1" x14ac:dyDescent="0.4">
      <c r="A58" s="74" t="s">
        <v>314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57"/>
      <c r="M58" s="57"/>
      <c r="N58" s="57"/>
      <c r="O58" s="57"/>
      <c r="P58" s="57"/>
      <c r="Q58" s="57"/>
      <c r="R58" s="57"/>
    </row>
    <row r="59" spans="1:18" ht="15" customHeight="1" x14ac:dyDescent="0.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57"/>
      <c r="M59" s="57"/>
      <c r="N59" s="57"/>
      <c r="O59" s="57"/>
      <c r="P59" s="57"/>
      <c r="Q59" s="57"/>
      <c r="R59" s="57"/>
    </row>
    <row r="62" spans="1:18" x14ac:dyDescent="0.25">
      <c r="D62" s="77" t="s">
        <v>315</v>
      </c>
      <c r="E62" s="77"/>
      <c r="F62" s="77" t="s">
        <v>316</v>
      </c>
      <c r="G62" s="77"/>
      <c r="H62" s="77"/>
    </row>
    <row r="63" spans="1:18" x14ac:dyDescent="0.25">
      <c r="D63" s="75" t="s">
        <v>317</v>
      </c>
      <c r="E63" s="75"/>
      <c r="F63" s="15" t="s">
        <v>318</v>
      </c>
      <c r="G63" s="15"/>
      <c r="H63" s="15"/>
    </row>
    <row r="64" spans="1:18" x14ac:dyDescent="0.25">
      <c r="D64" s="75" t="s">
        <v>319</v>
      </c>
      <c r="E64" s="75"/>
      <c r="F64" s="75" t="s">
        <v>464</v>
      </c>
      <c r="G64" s="75"/>
      <c r="H64" s="75"/>
    </row>
    <row r="65" spans="1:18" x14ac:dyDescent="0.25">
      <c r="D65" s="75" t="s">
        <v>320</v>
      </c>
      <c r="E65" s="75"/>
      <c r="F65" s="75" t="s">
        <v>321</v>
      </c>
      <c r="G65" s="75"/>
      <c r="H65" s="75"/>
    </row>
    <row r="66" spans="1:18" x14ac:dyDescent="0.25">
      <c r="D66" s="75" t="s">
        <v>322</v>
      </c>
      <c r="E66" s="75"/>
      <c r="F66" s="75" t="s">
        <v>323</v>
      </c>
      <c r="G66" s="75"/>
      <c r="H66" s="75"/>
    </row>
    <row r="68" spans="1:18" ht="16.5" customHeight="1" x14ac:dyDescent="0.25">
      <c r="A68" s="49"/>
    </row>
    <row r="69" spans="1:18" ht="15" customHeight="1" x14ac:dyDescent="0.4">
      <c r="A69" s="74" t="s">
        <v>392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57"/>
      <c r="M69" s="57"/>
      <c r="N69" s="57"/>
      <c r="O69" s="57"/>
      <c r="P69" s="57"/>
      <c r="Q69" s="57"/>
      <c r="R69" s="57"/>
    </row>
    <row r="70" spans="1:18" ht="15" customHeight="1" x14ac:dyDescent="0.4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57"/>
      <c r="M70" s="57"/>
      <c r="N70" s="57"/>
      <c r="O70" s="57"/>
      <c r="P70" s="57"/>
      <c r="Q70" s="57"/>
      <c r="R70" s="57"/>
    </row>
    <row r="71" spans="1:18" x14ac:dyDescent="0.25">
      <c r="A71" s="5"/>
      <c r="B71" s="5"/>
    </row>
    <row r="72" spans="1:18" ht="24" x14ac:dyDescent="0.25">
      <c r="A72" s="31" t="s">
        <v>393</v>
      </c>
      <c r="B72" s="5"/>
    </row>
    <row r="73" spans="1:18" x14ac:dyDescent="0.25">
      <c r="A73" t="s">
        <v>394</v>
      </c>
      <c r="B73" s="5"/>
    </row>
    <row r="74" spans="1:18" x14ac:dyDescent="0.25">
      <c r="B74" s="5"/>
    </row>
    <row r="75" spans="1:18" ht="15.75" x14ac:dyDescent="0.25">
      <c r="A75" s="54" t="s">
        <v>395</v>
      </c>
      <c r="B75" s="5"/>
    </row>
    <row r="76" spans="1:18" x14ac:dyDescent="0.25">
      <c r="A76" s="6" t="s">
        <v>155</v>
      </c>
      <c r="B76" s="5"/>
    </row>
    <row r="77" spans="1:18" x14ac:dyDescent="0.25">
      <c r="A77" s="6" t="s">
        <v>396</v>
      </c>
      <c r="B77" s="5"/>
    </row>
    <row r="78" spans="1:18" x14ac:dyDescent="0.25">
      <c r="A78" s="6" t="s">
        <v>397</v>
      </c>
      <c r="B78" s="5"/>
    </row>
    <row r="79" spans="1:18" x14ac:dyDescent="0.25">
      <c r="A79" s="6" t="s">
        <v>398</v>
      </c>
      <c r="B79" s="5"/>
    </row>
    <row r="80" spans="1:18" x14ac:dyDescent="0.25">
      <c r="A80" s="6" t="s">
        <v>399</v>
      </c>
      <c r="B80" s="5"/>
    </row>
    <row r="81" spans="1:18" x14ac:dyDescent="0.25">
      <c r="B81" s="5"/>
    </row>
    <row r="82" spans="1:18" ht="15.75" x14ac:dyDescent="0.25">
      <c r="A82" t="s">
        <v>400</v>
      </c>
      <c r="G82" s="54"/>
    </row>
    <row r="83" spans="1:18" x14ac:dyDescent="0.25">
      <c r="A83" t="s">
        <v>462</v>
      </c>
      <c r="G83" s="32"/>
    </row>
    <row r="84" spans="1:18" x14ac:dyDescent="0.25">
      <c r="G84" s="32"/>
    </row>
    <row r="85" spans="1:18" x14ac:dyDescent="0.25">
      <c r="D85" s="8" t="s">
        <v>205</v>
      </c>
      <c r="E85" s="8" t="s">
        <v>207</v>
      </c>
      <c r="F85" s="8" t="s">
        <v>463</v>
      </c>
      <c r="G85" s="32"/>
    </row>
    <row r="86" spans="1:18" x14ac:dyDescent="0.25">
      <c r="D86" s="9">
        <v>101</v>
      </c>
      <c r="E86" s="9"/>
      <c r="F86" s="9"/>
      <c r="G86" s="32"/>
    </row>
    <row r="87" spans="1:18" x14ac:dyDescent="0.25">
      <c r="D87" s="9">
        <v>102</v>
      </c>
      <c r="E87" s="9"/>
      <c r="F87" s="9"/>
      <c r="G87" s="32"/>
    </row>
    <row r="88" spans="1:18" x14ac:dyDescent="0.25">
      <c r="D88" s="9">
        <v>103</v>
      </c>
      <c r="E88" s="9"/>
      <c r="F88" s="9"/>
    </row>
    <row r="89" spans="1:18" x14ac:dyDescent="0.25">
      <c r="D89" s="9">
        <v>104</v>
      </c>
      <c r="E89" s="9"/>
      <c r="F89" s="9"/>
    </row>
    <row r="90" spans="1:18" ht="15" customHeight="1" x14ac:dyDescent="0.4">
      <c r="D90" s="9">
        <v>105</v>
      </c>
      <c r="E90" s="9"/>
      <c r="F90" s="9"/>
      <c r="L90" s="57"/>
      <c r="M90" s="57"/>
      <c r="N90" s="57"/>
      <c r="O90" s="57"/>
      <c r="P90" s="57"/>
      <c r="Q90" s="57"/>
      <c r="R90" s="57"/>
    </row>
    <row r="91" spans="1:18" ht="15" customHeight="1" x14ac:dyDescent="0.4">
      <c r="L91" s="57"/>
      <c r="M91" s="57"/>
      <c r="N91" s="57"/>
      <c r="O91" s="57"/>
      <c r="P91" s="57"/>
      <c r="Q91" s="57"/>
      <c r="R91" s="57"/>
    </row>
  </sheetData>
  <sortState xmlns:xlrd2="http://schemas.microsoft.com/office/spreadsheetml/2017/richdata2" ref="A110:A115">
    <sortCondition descending="1" ref="A110:A115"/>
  </sortState>
  <mergeCells count="21">
    <mergeCell ref="A69:K70"/>
    <mergeCell ref="A58:K59"/>
    <mergeCell ref="F62:H62"/>
    <mergeCell ref="D64:E64"/>
    <mergeCell ref="F64:H64"/>
    <mergeCell ref="D63:E63"/>
    <mergeCell ref="D62:E62"/>
    <mergeCell ref="D65:E65"/>
    <mergeCell ref="F65:H65"/>
    <mergeCell ref="A1:J2"/>
    <mergeCell ref="F66:H66"/>
    <mergeCell ref="A8:H8"/>
    <mergeCell ref="A7:H7"/>
    <mergeCell ref="A9:H9"/>
    <mergeCell ref="A10:H10"/>
    <mergeCell ref="D66:E66"/>
    <mergeCell ref="A29:J30"/>
    <mergeCell ref="A11:H11"/>
    <mergeCell ref="A12:H12"/>
    <mergeCell ref="A13:H13"/>
    <mergeCell ref="A14:H14"/>
  </mergeCells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C57A-4328-4CC6-863E-D0B2E9EA9BA0}">
  <dimension ref="A1:V88"/>
  <sheetViews>
    <sheetView workbookViewId="0">
      <selection activeCell="H27" sqref="H27"/>
    </sheetView>
  </sheetViews>
  <sheetFormatPr defaultColWidth="23.5703125" defaultRowHeight="15" x14ac:dyDescent="0.25"/>
  <cols>
    <col min="1" max="6" width="23.5703125" style="7"/>
    <col min="7" max="7" width="27.5703125" style="7" customWidth="1"/>
    <col min="8" max="8" width="31.7109375" style="7" customWidth="1"/>
    <col min="9" max="11" width="23.5703125" style="7"/>
    <col min="12" max="12" width="36" style="7" customWidth="1"/>
    <col min="13" max="16384" width="23.5703125" style="7"/>
  </cols>
  <sheetData>
    <row r="1" spans="1:19" ht="15" customHeight="1" x14ac:dyDescent="0.5">
      <c r="A1" s="85" t="s">
        <v>282</v>
      </c>
      <c r="B1" s="85"/>
      <c r="C1" s="85"/>
      <c r="D1" s="85"/>
      <c r="E1" s="85"/>
      <c r="F1" s="85"/>
      <c r="G1" s="85"/>
      <c r="H1" s="85"/>
      <c r="I1" s="85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5" customHeight="1" x14ac:dyDescent="0.5">
      <c r="A2" s="85"/>
      <c r="B2" s="85"/>
      <c r="C2" s="85"/>
      <c r="D2" s="85"/>
      <c r="E2" s="85"/>
      <c r="F2" s="85"/>
      <c r="G2" s="85"/>
      <c r="H2" s="85"/>
      <c r="I2" s="85"/>
      <c r="J2" s="58"/>
      <c r="K2" s="58"/>
      <c r="L2" s="58"/>
      <c r="M2" s="58"/>
      <c r="N2" s="58"/>
      <c r="O2" s="58"/>
      <c r="P2" s="58"/>
      <c r="Q2" s="58"/>
      <c r="R2" s="58"/>
      <c r="S2" s="58"/>
    </row>
    <row r="4" spans="1:19" x14ac:dyDescent="0.25">
      <c r="A4" s="70" t="s">
        <v>191</v>
      </c>
    </row>
    <row r="5" spans="1:19" x14ac:dyDescent="0.25">
      <c r="A5" s="70" t="s">
        <v>192</v>
      </c>
      <c r="D5" s="19" t="s">
        <v>205</v>
      </c>
      <c r="E5" s="19" t="s">
        <v>206</v>
      </c>
      <c r="F5" s="19" t="s">
        <v>207</v>
      </c>
      <c r="G5" s="50" t="s">
        <v>208</v>
      </c>
      <c r="H5" s="19" t="s">
        <v>209</v>
      </c>
      <c r="I5" s="19" t="s">
        <v>210</v>
      </c>
      <c r="K5" s="95" t="s">
        <v>251</v>
      </c>
      <c r="L5" s="96"/>
    </row>
    <row r="6" spans="1:19" x14ac:dyDescent="0.25">
      <c r="A6" s="70" t="s">
        <v>193</v>
      </c>
      <c r="D6" s="9" t="s">
        <v>295</v>
      </c>
      <c r="E6" s="63" t="s">
        <v>223</v>
      </c>
      <c r="F6" s="9" t="s">
        <v>212</v>
      </c>
      <c r="G6" s="64" t="s">
        <v>284</v>
      </c>
      <c r="H6" s="65">
        <v>46218</v>
      </c>
      <c r="I6" s="9">
        <v>45000</v>
      </c>
      <c r="K6" s="52" t="s">
        <v>252</v>
      </c>
      <c r="L6" s="65">
        <v>46218</v>
      </c>
    </row>
    <row r="7" spans="1:19" x14ac:dyDescent="0.25">
      <c r="A7" s="70" t="s">
        <v>194</v>
      </c>
      <c r="D7" s="9" t="s">
        <v>296</v>
      </c>
      <c r="E7" s="9" t="s">
        <v>213</v>
      </c>
      <c r="F7" s="9" t="s">
        <v>214</v>
      </c>
      <c r="G7" s="64" t="s">
        <v>285</v>
      </c>
      <c r="H7" s="65">
        <v>45724</v>
      </c>
      <c r="I7" s="9">
        <v>52000</v>
      </c>
      <c r="K7" s="52" t="s">
        <v>253</v>
      </c>
      <c r="L7" s="16"/>
    </row>
    <row r="8" spans="1:19" x14ac:dyDescent="0.25">
      <c r="A8" s="70" t="s">
        <v>202</v>
      </c>
      <c r="D8" s="9" t="s">
        <v>297</v>
      </c>
      <c r="E8" s="9" t="s">
        <v>216</v>
      </c>
      <c r="F8" s="9" t="s">
        <v>217</v>
      </c>
      <c r="G8" s="64" t="s">
        <v>286</v>
      </c>
      <c r="H8" s="65">
        <v>45618</v>
      </c>
      <c r="I8" s="9">
        <v>61000</v>
      </c>
      <c r="K8" s="52" t="s">
        <v>259</v>
      </c>
      <c r="L8" s="16"/>
    </row>
    <row r="9" spans="1:19" x14ac:dyDescent="0.25">
      <c r="A9" s="70" t="s">
        <v>196</v>
      </c>
      <c r="D9" s="9" t="s">
        <v>298</v>
      </c>
      <c r="E9" s="63" t="s">
        <v>218</v>
      </c>
      <c r="F9" s="9" t="s">
        <v>219</v>
      </c>
      <c r="G9" s="64" t="s">
        <v>287</v>
      </c>
      <c r="H9" s="65">
        <v>44931</v>
      </c>
      <c r="I9" s="9">
        <v>39000</v>
      </c>
      <c r="K9" s="52" t="s">
        <v>254</v>
      </c>
      <c r="L9" s="16"/>
    </row>
    <row r="10" spans="1:19" x14ac:dyDescent="0.25">
      <c r="A10" s="70" t="s">
        <v>197</v>
      </c>
      <c r="D10" s="9" t="s">
        <v>299</v>
      </c>
      <c r="E10" s="9" t="s">
        <v>221</v>
      </c>
      <c r="F10" s="9" t="s">
        <v>222</v>
      </c>
      <c r="G10" s="64" t="s">
        <v>288</v>
      </c>
      <c r="H10" s="65">
        <v>46295</v>
      </c>
      <c r="I10" s="9">
        <v>70000</v>
      </c>
      <c r="K10" s="52" t="s">
        <v>255</v>
      </c>
      <c r="L10" s="16"/>
    </row>
    <row r="11" spans="1:19" x14ac:dyDescent="0.25">
      <c r="A11" s="70" t="s">
        <v>198</v>
      </c>
      <c r="D11" s="9" t="s">
        <v>300</v>
      </c>
      <c r="E11" s="63" t="s">
        <v>294</v>
      </c>
      <c r="F11" s="9" t="s">
        <v>224</v>
      </c>
      <c r="G11" s="64" t="s">
        <v>289</v>
      </c>
      <c r="H11" s="65">
        <v>45705</v>
      </c>
      <c r="I11" s="9">
        <v>48000</v>
      </c>
      <c r="K11" s="52" t="s">
        <v>258</v>
      </c>
      <c r="L11" s="16"/>
    </row>
    <row r="12" spans="1:19" x14ac:dyDescent="0.25">
      <c r="A12" s="70" t="s">
        <v>199</v>
      </c>
      <c r="D12" s="9" t="s">
        <v>301</v>
      </c>
      <c r="E12" s="9" t="s">
        <v>226</v>
      </c>
      <c r="F12" s="9" t="s">
        <v>227</v>
      </c>
      <c r="G12" s="64" t="s">
        <v>290</v>
      </c>
      <c r="H12" s="65">
        <v>45637</v>
      </c>
      <c r="I12" s="9">
        <v>55000</v>
      </c>
      <c r="K12" s="52" t="s">
        <v>256</v>
      </c>
      <c r="L12" s="16"/>
    </row>
    <row r="13" spans="1:19" x14ac:dyDescent="0.25">
      <c r="A13" s="70" t="s">
        <v>200</v>
      </c>
      <c r="D13" s="9" t="s">
        <v>302</v>
      </c>
      <c r="E13" s="9" t="s">
        <v>228</v>
      </c>
      <c r="F13" s="9" t="s">
        <v>229</v>
      </c>
      <c r="G13" s="64" t="s">
        <v>291</v>
      </c>
      <c r="H13" s="65">
        <v>45102</v>
      </c>
      <c r="I13" s="9">
        <v>47000</v>
      </c>
      <c r="K13" s="52" t="s">
        <v>260</v>
      </c>
      <c r="L13" s="16"/>
    </row>
    <row r="14" spans="1:19" x14ac:dyDescent="0.25">
      <c r="A14" s="70" t="s">
        <v>188</v>
      </c>
      <c r="D14" s="9" t="s">
        <v>303</v>
      </c>
      <c r="E14" s="63" t="s">
        <v>231</v>
      </c>
      <c r="F14" s="9" t="s">
        <v>232</v>
      </c>
      <c r="G14" s="64" t="s">
        <v>292</v>
      </c>
      <c r="H14" s="65">
        <v>46248</v>
      </c>
      <c r="I14" s="9">
        <v>59000</v>
      </c>
      <c r="K14" s="52" t="s">
        <v>250</v>
      </c>
      <c r="L14" s="16"/>
    </row>
    <row r="15" spans="1:19" x14ac:dyDescent="0.25">
      <c r="A15" s="70" t="s">
        <v>189</v>
      </c>
      <c r="D15" s="9" t="s">
        <v>304</v>
      </c>
      <c r="E15" s="9" t="s">
        <v>233</v>
      </c>
      <c r="F15" s="9" t="s">
        <v>234</v>
      </c>
      <c r="G15" s="64" t="s">
        <v>293</v>
      </c>
      <c r="H15" s="65">
        <v>44670</v>
      </c>
      <c r="I15" s="9">
        <v>64000</v>
      </c>
      <c r="K15" s="52" t="s">
        <v>257</v>
      </c>
      <c r="L15" s="16"/>
    </row>
    <row r="16" spans="1:19" x14ac:dyDescent="0.25">
      <c r="A16" s="70" t="s">
        <v>195</v>
      </c>
    </row>
    <row r="17" spans="1:22" x14ac:dyDescent="0.25">
      <c r="A17" s="70" t="s">
        <v>190</v>
      </c>
    </row>
    <row r="18" spans="1:22" x14ac:dyDescent="0.25">
      <c r="A18" s="70" t="s">
        <v>201</v>
      </c>
    </row>
    <row r="19" spans="1:22" x14ac:dyDescent="0.25">
      <c r="A19" s="70" t="s">
        <v>203</v>
      </c>
    </row>
    <row r="20" spans="1:22" x14ac:dyDescent="0.25">
      <c r="A20" s="70" t="s">
        <v>401</v>
      </c>
    </row>
    <row r="21" spans="1:22" x14ac:dyDescent="0.25">
      <c r="A21" s="70"/>
    </row>
    <row r="22" spans="1:22" ht="18.75" x14ac:dyDescent="0.3">
      <c r="A22" s="66" t="s">
        <v>167</v>
      </c>
    </row>
    <row r="23" spans="1:22" x14ac:dyDescent="0.25">
      <c r="A23" t="s">
        <v>459</v>
      </c>
    </row>
    <row r="24" spans="1:22" x14ac:dyDescent="0.25">
      <c r="A24" s="70" t="s">
        <v>458</v>
      </c>
    </row>
    <row r="25" spans="1:22" x14ac:dyDescent="0.25">
      <c r="A25" s="70"/>
    </row>
    <row r="27" spans="1:22" ht="18.75" x14ac:dyDescent="0.3">
      <c r="A27" s="66"/>
      <c r="B27" s="55" t="s">
        <v>205</v>
      </c>
      <c r="C27" s="55" t="s">
        <v>206</v>
      </c>
      <c r="D27" s="55" t="s">
        <v>207</v>
      </c>
      <c r="E27" s="55" t="s">
        <v>208</v>
      </c>
      <c r="F27" s="55" t="s">
        <v>209</v>
      </c>
      <c r="G27" s="55" t="s">
        <v>210</v>
      </c>
      <c r="H27" s="51" t="s">
        <v>249</v>
      </c>
      <c r="I27" s="51" t="s">
        <v>250</v>
      </c>
      <c r="J27" s="51" t="s">
        <v>261</v>
      </c>
      <c r="K27" s="51" t="s">
        <v>272</v>
      </c>
      <c r="L27" s="51" t="s">
        <v>275</v>
      </c>
      <c r="M27" s="51" t="s">
        <v>276</v>
      </c>
      <c r="N27" s="51" t="s">
        <v>278</v>
      </c>
      <c r="O27" s="51" t="s">
        <v>279</v>
      </c>
      <c r="P27" s="51" t="s">
        <v>280</v>
      </c>
      <c r="Q27" s="51" t="s">
        <v>281</v>
      </c>
      <c r="T27" s="51" t="s">
        <v>359</v>
      </c>
      <c r="U27" s="51" t="s">
        <v>360</v>
      </c>
      <c r="V27" s="51" t="s">
        <v>371</v>
      </c>
    </row>
    <row r="28" spans="1:22" x14ac:dyDescent="0.25">
      <c r="B28" s="16"/>
      <c r="C28" s="16"/>
      <c r="D28" s="9"/>
      <c r="E28" s="9"/>
      <c r="F28" s="6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T28" s="9" t="s">
        <v>361</v>
      </c>
      <c r="U28" s="16"/>
      <c r="V28" s="16"/>
    </row>
    <row r="29" spans="1:22" x14ac:dyDescent="0.25">
      <c r="B29" s="16"/>
      <c r="C29" s="16"/>
      <c r="D29" s="9"/>
      <c r="E29" s="9"/>
      <c r="F29" s="67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T29" s="9" t="s">
        <v>362</v>
      </c>
      <c r="U29" s="16"/>
      <c r="V29" s="16"/>
    </row>
    <row r="30" spans="1:22" x14ac:dyDescent="0.25">
      <c r="B30" s="16"/>
      <c r="C30" s="16"/>
      <c r="D30" s="9"/>
      <c r="E30" s="9"/>
      <c r="F30" s="67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T30" s="9" t="s">
        <v>363</v>
      </c>
      <c r="U30" s="16"/>
      <c r="V30" s="16"/>
    </row>
    <row r="31" spans="1:22" x14ac:dyDescent="0.25">
      <c r="B31" s="16"/>
      <c r="C31" s="16"/>
      <c r="D31" s="9"/>
      <c r="E31" s="9"/>
      <c r="F31" s="67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22" x14ac:dyDescent="0.25">
      <c r="B32" s="16"/>
      <c r="C32" s="16"/>
      <c r="D32" s="9"/>
      <c r="E32" s="9"/>
      <c r="F32" s="67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22" x14ac:dyDescent="0.25">
      <c r="B33" s="16"/>
      <c r="C33" s="16"/>
      <c r="D33" s="9"/>
      <c r="E33" s="9"/>
      <c r="F33" s="67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T33" s="51" t="s">
        <v>205</v>
      </c>
      <c r="U33" s="51" t="s">
        <v>405</v>
      </c>
      <c r="V33" s="51" t="s">
        <v>372</v>
      </c>
    </row>
    <row r="34" spans="1:22" x14ac:dyDescent="0.25">
      <c r="B34" s="16"/>
      <c r="C34" s="16"/>
      <c r="D34" s="9"/>
      <c r="E34" s="9"/>
      <c r="F34" s="67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T34" s="9" t="s">
        <v>402</v>
      </c>
      <c r="U34" s="16"/>
      <c r="V34" s="16"/>
    </row>
    <row r="35" spans="1:22" x14ac:dyDescent="0.25">
      <c r="B35" s="16"/>
      <c r="C35" s="16"/>
      <c r="D35" s="9"/>
      <c r="E35" s="9"/>
      <c r="F35" s="6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T35" s="9" t="s">
        <v>403</v>
      </c>
      <c r="U35" s="16"/>
      <c r="V35" s="16"/>
    </row>
    <row r="36" spans="1:22" x14ac:dyDescent="0.25">
      <c r="B36" s="16"/>
      <c r="C36" s="16"/>
      <c r="D36" s="9"/>
      <c r="E36" s="9"/>
      <c r="F36" s="6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T36" s="9" t="s">
        <v>404</v>
      </c>
      <c r="U36" s="16"/>
      <c r="V36" s="16"/>
    </row>
    <row r="37" spans="1:22" x14ac:dyDescent="0.25">
      <c r="B37" s="16"/>
      <c r="C37" s="16"/>
      <c r="D37" s="9"/>
      <c r="E37" s="9"/>
      <c r="F37" s="6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22" x14ac:dyDescent="0.25">
      <c r="B38" s="16"/>
      <c r="C38" s="16"/>
      <c r="D38" s="8" t="str">
        <f>UPPER(H16)</f>
        <v/>
      </c>
      <c r="E38" s="8"/>
      <c r="F38" s="16"/>
      <c r="G38" s="16"/>
      <c r="H38" s="16"/>
      <c r="I38" s="16"/>
      <c r="J38" s="16"/>
      <c r="K38" s="16"/>
      <c r="L38" s="16"/>
      <c r="M38" s="16" t="str">
        <f t="shared" ref="M38:Q39" si="0">SUBSTITUTE(E38,"@company.com","@abc.com")</f>
        <v/>
      </c>
      <c r="N38" s="16"/>
      <c r="O38" s="16" t="str">
        <f t="shared" ref="O38:S39" si="1">RIGHT(B38,3)</f>
        <v/>
      </c>
      <c r="P38" s="16"/>
      <c r="Q38" s="16"/>
    </row>
    <row r="39" spans="1:22" x14ac:dyDescent="0.25">
      <c r="H39" s="2" t="str">
        <f>UPPER(H17)</f>
        <v/>
      </c>
      <c r="I39" s="2"/>
      <c r="Q39" s="7" t="str">
        <f t="shared" si="0"/>
        <v/>
      </c>
      <c r="S39" s="7" t="str">
        <f t="shared" si="1"/>
        <v/>
      </c>
    </row>
    <row r="40" spans="1:22" ht="18.75" x14ac:dyDescent="0.3">
      <c r="A40" s="71" t="s">
        <v>204</v>
      </c>
      <c r="B40" s="70"/>
      <c r="C40" s="70"/>
      <c r="G40" s="2"/>
      <c r="H40" s="2"/>
    </row>
    <row r="41" spans="1:22" x14ac:dyDescent="0.25">
      <c r="A41" s="70" t="s">
        <v>235</v>
      </c>
      <c r="B41" s="70"/>
      <c r="C41" s="70"/>
      <c r="G41" s="2"/>
      <c r="H41" s="2"/>
    </row>
    <row r="42" spans="1:22" x14ac:dyDescent="0.25">
      <c r="A42" s="70" t="s">
        <v>236</v>
      </c>
      <c r="B42" s="70"/>
      <c r="C42" s="70"/>
      <c r="G42" s="2"/>
      <c r="H42" s="2"/>
    </row>
    <row r="43" spans="1:22" x14ac:dyDescent="0.25">
      <c r="A43" s="70" t="s">
        <v>237</v>
      </c>
      <c r="B43" s="70"/>
      <c r="C43" s="70"/>
      <c r="G43" s="2"/>
      <c r="H43" s="2"/>
    </row>
    <row r="44" spans="1:22" x14ac:dyDescent="0.25">
      <c r="A44" s="70" t="s">
        <v>238</v>
      </c>
      <c r="B44" s="70"/>
      <c r="C44" s="70"/>
      <c r="G44" s="2"/>
      <c r="H44" s="2"/>
    </row>
    <row r="45" spans="1:22" x14ac:dyDescent="0.25">
      <c r="A45" s="70" t="s">
        <v>239</v>
      </c>
      <c r="B45" s="70"/>
      <c r="C45" s="70"/>
      <c r="G45" s="2"/>
      <c r="H45" s="2"/>
    </row>
    <row r="46" spans="1:22" x14ac:dyDescent="0.25">
      <c r="A46" s="70" t="s">
        <v>240</v>
      </c>
      <c r="B46" s="70"/>
      <c r="C46" s="70"/>
      <c r="G46" s="2"/>
      <c r="H46" s="2"/>
    </row>
    <row r="47" spans="1:22" x14ac:dyDescent="0.25">
      <c r="A47" s="70" t="s">
        <v>241</v>
      </c>
      <c r="B47" s="70"/>
      <c r="C47" s="70"/>
      <c r="G47" s="2"/>
      <c r="H47" s="2"/>
    </row>
    <row r="48" spans="1:22" x14ac:dyDescent="0.25">
      <c r="A48" s="70" t="s">
        <v>242</v>
      </c>
      <c r="B48" s="70"/>
      <c r="C48" s="70"/>
      <c r="G48" s="2"/>
      <c r="H48" s="2"/>
    </row>
    <row r="49" spans="1:9" x14ac:dyDescent="0.25">
      <c r="A49" s="70" t="s">
        <v>243</v>
      </c>
      <c r="B49" s="70"/>
      <c r="C49" s="70"/>
      <c r="G49" s="2"/>
      <c r="H49" s="2"/>
    </row>
    <row r="50" spans="1:9" x14ac:dyDescent="0.25">
      <c r="A50" s="70" t="s">
        <v>283</v>
      </c>
      <c r="B50" s="70"/>
      <c r="C50" s="70"/>
      <c r="G50" s="2"/>
      <c r="H50" s="2"/>
    </row>
    <row r="51" spans="1:9" x14ac:dyDescent="0.25">
      <c r="A51" s="70" t="s">
        <v>244</v>
      </c>
      <c r="B51" s="70"/>
      <c r="C51" s="70"/>
      <c r="G51" s="2"/>
      <c r="H51" s="2"/>
    </row>
    <row r="52" spans="1:9" x14ac:dyDescent="0.25">
      <c r="A52" s="70" t="s">
        <v>277</v>
      </c>
      <c r="B52" s="70"/>
      <c r="C52" s="70"/>
      <c r="G52" s="2"/>
      <c r="H52" s="2"/>
    </row>
    <row r="53" spans="1:9" x14ac:dyDescent="0.25">
      <c r="A53" s="70" t="s">
        <v>245</v>
      </c>
      <c r="B53" s="70"/>
      <c r="C53" s="70"/>
      <c r="G53" s="2"/>
      <c r="H53" s="2"/>
    </row>
    <row r="54" spans="1:9" ht="16.5" customHeight="1" x14ac:dyDescent="0.25">
      <c r="A54" s="70" t="s">
        <v>246</v>
      </c>
      <c r="B54" s="70"/>
      <c r="C54" s="70"/>
      <c r="G54" s="68"/>
      <c r="H54" s="1"/>
    </row>
    <row r="55" spans="1:9" x14ac:dyDescent="0.25">
      <c r="A55" s="70" t="s">
        <v>247</v>
      </c>
      <c r="B55" s="70"/>
      <c r="C55" s="70"/>
      <c r="G55" s="68"/>
      <c r="H55" s="1"/>
    </row>
    <row r="56" spans="1:9" x14ac:dyDescent="0.25">
      <c r="A56" s="70" t="s">
        <v>248</v>
      </c>
      <c r="B56" s="70"/>
      <c r="C56" s="70"/>
      <c r="G56" s="68"/>
      <c r="H56" s="1"/>
    </row>
    <row r="57" spans="1:9" x14ac:dyDescent="0.25">
      <c r="H57" s="68"/>
      <c r="I57" s="1"/>
    </row>
    <row r="58" spans="1:9" x14ac:dyDescent="0.25">
      <c r="D58" s="1"/>
      <c r="E58" s="1"/>
      <c r="F58" s="1"/>
      <c r="G58" s="69"/>
      <c r="H58" s="68"/>
      <c r="I58" s="1"/>
    </row>
    <row r="59" spans="1:9" x14ac:dyDescent="0.25">
      <c r="A59" s="97" t="s">
        <v>262</v>
      </c>
      <c r="B59" s="97"/>
      <c r="C59" s="97"/>
      <c r="D59" s="97"/>
      <c r="E59" s="97"/>
      <c r="F59" s="97"/>
      <c r="G59" s="69"/>
      <c r="H59" s="68"/>
      <c r="I59" s="1"/>
    </row>
    <row r="60" spans="1:9" x14ac:dyDescent="0.25">
      <c r="A60" s="88" t="s">
        <v>271</v>
      </c>
      <c r="B60" s="89"/>
      <c r="C60" s="89"/>
      <c r="D60" s="89"/>
      <c r="E60" s="89"/>
      <c r="F60" s="90"/>
      <c r="G60" s="69"/>
      <c r="H60" s="68"/>
      <c r="I60" s="1"/>
    </row>
    <row r="61" spans="1:9" x14ac:dyDescent="0.25">
      <c r="A61" s="8" t="s">
        <v>263</v>
      </c>
      <c r="B61" s="91" t="s">
        <v>264</v>
      </c>
      <c r="C61" s="92"/>
      <c r="D61" s="92"/>
      <c r="E61" s="92"/>
      <c r="F61" s="93"/>
      <c r="G61" s="69"/>
      <c r="H61" s="68"/>
      <c r="I61" s="1"/>
    </row>
    <row r="62" spans="1:9" x14ac:dyDescent="0.25">
      <c r="A62" s="16" t="s">
        <v>265</v>
      </c>
      <c r="B62" s="94" t="s">
        <v>266</v>
      </c>
      <c r="C62" s="86"/>
      <c r="D62" s="86"/>
      <c r="E62" s="86"/>
      <c r="F62" s="87"/>
      <c r="G62" s="69"/>
      <c r="H62" s="68"/>
      <c r="I62" s="1"/>
    </row>
    <row r="63" spans="1:9" x14ac:dyDescent="0.25">
      <c r="A63" s="16" t="s">
        <v>267</v>
      </c>
      <c r="B63" s="94" t="s">
        <v>268</v>
      </c>
      <c r="C63" s="86"/>
      <c r="D63" s="86"/>
      <c r="E63" s="86"/>
      <c r="F63" s="87"/>
      <c r="G63" s="69"/>
      <c r="H63" s="68"/>
      <c r="I63" s="1"/>
    </row>
    <row r="64" spans="1:9" x14ac:dyDescent="0.25">
      <c r="A64" s="17" t="s">
        <v>269</v>
      </c>
      <c r="B64" s="94" t="s">
        <v>270</v>
      </c>
      <c r="C64" s="86"/>
      <c r="D64" s="86"/>
      <c r="E64" s="86"/>
      <c r="F64" s="87"/>
    </row>
    <row r="66" spans="1:10" ht="18.75" x14ac:dyDescent="0.3">
      <c r="J66" s="66" t="s">
        <v>204</v>
      </c>
    </row>
    <row r="67" spans="1:10" x14ac:dyDescent="0.25">
      <c r="A67" s="88" t="s">
        <v>273</v>
      </c>
      <c r="B67" s="89"/>
      <c r="C67" s="89"/>
      <c r="D67" s="89"/>
      <c r="E67" s="89"/>
      <c r="F67" s="90"/>
      <c r="J67" s="7" t="s">
        <v>235</v>
      </c>
    </row>
    <row r="68" spans="1:10" x14ac:dyDescent="0.25">
      <c r="A68" s="8" t="s">
        <v>263</v>
      </c>
      <c r="B68" s="91" t="s">
        <v>264</v>
      </c>
      <c r="C68" s="92"/>
      <c r="D68" s="92"/>
      <c r="E68" s="92"/>
      <c r="F68" s="93"/>
      <c r="J68" s="7" t="s">
        <v>236</v>
      </c>
    </row>
    <row r="69" spans="1:10" x14ac:dyDescent="0.25">
      <c r="A69" s="16" t="s">
        <v>265</v>
      </c>
      <c r="B69" s="94" t="s">
        <v>266</v>
      </c>
      <c r="C69" s="86"/>
      <c r="D69" s="86"/>
      <c r="E69" s="86"/>
      <c r="F69" s="87"/>
      <c r="J69" s="7" t="s">
        <v>237</v>
      </c>
    </row>
    <row r="70" spans="1:10" x14ac:dyDescent="0.25">
      <c r="A70" s="16" t="s">
        <v>267</v>
      </c>
      <c r="B70" s="94" t="s">
        <v>268</v>
      </c>
      <c r="C70" s="86"/>
      <c r="D70" s="86"/>
      <c r="E70" s="86"/>
      <c r="F70" s="87"/>
      <c r="J70" s="7" t="s">
        <v>238</v>
      </c>
    </row>
    <row r="71" spans="1:10" x14ac:dyDescent="0.25">
      <c r="A71" s="17" t="s">
        <v>269</v>
      </c>
      <c r="B71" s="94" t="s">
        <v>274</v>
      </c>
      <c r="C71" s="86"/>
      <c r="D71" s="86"/>
      <c r="E71" s="86"/>
      <c r="F71" s="87"/>
      <c r="J71" s="7" t="s">
        <v>239</v>
      </c>
    </row>
    <row r="72" spans="1:10" x14ac:dyDescent="0.25">
      <c r="J72" s="7" t="s">
        <v>240</v>
      </c>
    </row>
    <row r="73" spans="1:10" x14ac:dyDescent="0.25">
      <c r="A73" s="88" t="s">
        <v>305</v>
      </c>
      <c r="B73" s="89"/>
      <c r="C73" s="89"/>
      <c r="D73" s="89"/>
      <c r="E73" s="89"/>
      <c r="F73" s="90"/>
      <c r="J73" s="7" t="s">
        <v>241</v>
      </c>
    </row>
    <row r="74" spans="1:10" x14ac:dyDescent="0.25">
      <c r="A74" s="8" t="s">
        <v>263</v>
      </c>
      <c r="B74" s="91" t="s">
        <v>264</v>
      </c>
      <c r="C74" s="92"/>
      <c r="D74" s="92"/>
      <c r="E74" s="92"/>
      <c r="F74" s="93"/>
      <c r="J74" s="7" t="s">
        <v>242</v>
      </c>
    </row>
    <row r="75" spans="1:10" x14ac:dyDescent="0.25">
      <c r="A75" s="16" t="s">
        <v>306</v>
      </c>
      <c r="B75" s="86" t="s">
        <v>307</v>
      </c>
      <c r="C75" s="86"/>
      <c r="D75" s="86"/>
      <c r="E75" s="86"/>
      <c r="F75" s="87"/>
      <c r="J75" s="7" t="s">
        <v>243</v>
      </c>
    </row>
    <row r="76" spans="1:10" x14ac:dyDescent="0.25">
      <c r="A76" s="16" t="s">
        <v>310</v>
      </c>
      <c r="B76" s="86" t="s">
        <v>308</v>
      </c>
      <c r="C76" s="86"/>
      <c r="D76" s="86"/>
      <c r="E76" s="86"/>
      <c r="F76" s="87"/>
      <c r="J76" s="7" t="s">
        <v>283</v>
      </c>
    </row>
    <row r="77" spans="1:10" x14ac:dyDescent="0.25">
      <c r="A77" s="16" t="s">
        <v>311</v>
      </c>
      <c r="B77" s="86" t="s">
        <v>309</v>
      </c>
      <c r="C77" s="86"/>
      <c r="D77" s="86"/>
      <c r="E77" s="86"/>
      <c r="F77" s="87"/>
      <c r="J77" s="7" t="s">
        <v>244</v>
      </c>
    </row>
    <row r="78" spans="1:10" x14ac:dyDescent="0.25">
      <c r="A78" s="16" t="s">
        <v>312</v>
      </c>
      <c r="B78" s="83" t="s">
        <v>313</v>
      </c>
      <c r="C78" s="83"/>
      <c r="D78" s="83"/>
      <c r="E78" s="83"/>
      <c r="F78" s="83"/>
      <c r="J78" s="7" t="s">
        <v>277</v>
      </c>
    </row>
    <row r="79" spans="1:10" x14ac:dyDescent="0.25">
      <c r="J79" s="7" t="s">
        <v>245</v>
      </c>
    </row>
    <row r="80" spans="1:10" x14ac:dyDescent="0.25">
      <c r="J80" s="7" t="s">
        <v>246</v>
      </c>
    </row>
    <row r="81" spans="1:10" x14ac:dyDescent="0.25">
      <c r="A81" s="88" t="s">
        <v>406</v>
      </c>
      <c r="B81" s="89"/>
      <c r="C81" s="89"/>
      <c r="D81" s="89"/>
      <c r="E81" s="89"/>
      <c r="F81" s="90"/>
      <c r="J81" s="7" t="s">
        <v>247</v>
      </c>
    </row>
    <row r="82" spans="1:10" x14ac:dyDescent="0.25">
      <c r="A82" s="8" t="s">
        <v>263</v>
      </c>
      <c r="B82" s="91" t="s">
        <v>264</v>
      </c>
      <c r="C82" s="92"/>
      <c r="D82" s="92"/>
      <c r="E82" s="92"/>
      <c r="F82" s="93"/>
      <c r="J82" s="7" t="s">
        <v>248</v>
      </c>
    </row>
    <row r="83" spans="1:10" x14ac:dyDescent="0.25">
      <c r="A83" s="16" t="s">
        <v>407</v>
      </c>
      <c r="B83" s="83" t="s">
        <v>408</v>
      </c>
      <c r="C83" s="83"/>
      <c r="D83" s="83"/>
      <c r="E83" s="83"/>
      <c r="F83" s="83"/>
    </row>
    <row r="84" spans="1:10" x14ac:dyDescent="0.25">
      <c r="A84" s="16" t="s">
        <v>410</v>
      </c>
      <c r="B84" s="83" t="s">
        <v>409</v>
      </c>
      <c r="C84" s="83"/>
      <c r="D84" s="83"/>
      <c r="E84" s="83"/>
      <c r="F84" s="83"/>
    </row>
    <row r="85" spans="1:10" x14ac:dyDescent="0.25">
      <c r="A85" s="9" t="s">
        <v>411</v>
      </c>
      <c r="B85" s="83" t="s">
        <v>412</v>
      </c>
      <c r="C85" s="83"/>
      <c r="D85" s="83"/>
      <c r="E85" s="83"/>
      <c r="F85" s="83"/>
    </row>
    <row r="86" spans="1:10" x14ac:dyDescent="0.25">
      <c r="A86" s="7" t="s">
        <v>413</v>
      </c>
      <c r="B86" s="84" t="s">
        <v>313</v>
      </c>
      <c r="C86" s="84"/>
      <c r="D86" s="84"/>
      <c r="E86" s="84"/>
      <c r="F86" s="84"/>
    </row>
    <row r="87" spans="1:10" x14ac:dyDescent="0.25">
      <c r="A87" s="16" t="s">
        <v>414</v>
      </c>
      <c r="B87" s="83" t="s">
        <v>415</v>
      </c>
      <c r="C87" s="83"/>
      <c r="D87" s="83"/>
      <c r="E87" s="83"/>
      <c r="F87" s="83"/>
    </row>
    <row r="88" spans="1:10" x14ac:dyDescent="0.25">
      <c r="A88" s="16" t="s">
        <v>416</v>
      </c>
      <c r="B88" s="83" t="s">
        <v>417</v>
      </c>
      <c r="C88" s="83"/>
      <c r="D88" s="83"/>
      <c r="E88" s="83"/>
      <c r="F88" s="83"/>
    </row>
  </sheetData>
  <mergeCells count="27">
    <mergeCell ref="K5:L5"/>
    <mergeCell ref="A60:F60"/>
    <mergeCell ref="B61:F61"/>
    <mergeCell ref="B62:F62"/>
    <mergeCell ref="B76:F76"/>
    <mergeCell ref="B63:F63"/>
    <mergeCell ref="B64:F64"/>
    <mergeCell ref="A59:F59"/>
    <mergeCell ref="A67:F67"/>
    <mergeCell ref="B68:F68"/>
    <mergeCell ref="B69:F69"/>
    <mergeCell ref="B85:F85"/>
    <mergeCell ref="B86:F86"/>
    <mergeCell ref="B87:F87"/>
    <mergeCell ref="A1:I2"/>
    <mergeCell ref="B88:F88"/>
    <mergeCell ref="B77:F77"/>
    <mergeCell ref="B78:F78"/>
    <mergeCell ref="A81:F81"/>
    <mergeCell ref="B82:F82"/>
    <mergeCell ref="B83:F83"/>
    <mergeCell ref="B84:F84"/>
    <mergeCell ref="B70:F70"/>
    <mergeCell ref="B71:F71"/>
    <mergeCell ref="A73:F73"/>
    <mergeCell ref="B74:F74"/>
    <mergeCell ref="B75:F75"/>
  </mergeCells>
  <hyperlinks>
    <hyperlink ref="G6" r:id="rId1" display="mailto:Amit.Verma@ABC.com" xr:uid="{4CB8A88F-7310-49E4-B9FB-6AF599FF86B8}"/>
    <hyperlink ref="G7" r:id="rId2" display="mailto:RAHUL.SHARMA@ABC.com" xr:uid="{73A9FE2A-0106-4C42-B01B-95CDD35B928E}"/>
    <hyperlink ref="G8" r:id="rId3" display="mailto:Priya.Singh@ABC.com" xr:uid="{50EC917E-060E-41ED-B9AE-B63EC01CC06D}"/>
    <hyperlink ref="G9" r:id="rId4" display="mailto:ROHIT.KUMAR@ABC.com" xr:uid="{85206779-2F49-49AD-ADBF-B33BA8FADD04}"/>
    <hyperlink ref="G10" r:id="rId5" display="mailto:Sneha.Gupta@ABC.com" xr:uid="{71692564-43D6-49F4-993F-F0591E2D9EED}"/>
    <hyperlink ref="G11" r:id="rId6" display="mailto:ANKIT.MEHTA@ABC.com" xr:uid="{FCF49A37-9118-4E70-B111-4811C37A6ACC}"/>
    <hyperlink ref="G12" r:id="rId7" display="mailto:POOJA.SHAH@ABC.com" xr:uid="{894F6D20-14CB-4578-8158-D51C63096CC6}"/>
    <hyperlink ref="G13" r:id="rId8" display="mailto:Vikas.Yadav@ABC.com" xr:uid="{185C4FDB-9E72-4837-91AF-3C4A0A2A222B}"/>
    <hyperlink ref="G14" r:id="rId9" display="mailto:Neha.Singh@ABC.com" xr:uid="{B3BF5D7D-51C7-4BEA-80B8-67568D39A622}"/>
    <hyperlink ref="G15" r:id="rId10" display="mailto:ARJUN.MEHTA@ABC.com" xr:uid="{4DCD354E-23E5-4FEA-8E1E-66DD5611A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Lecture1</vt:lpstr>
      <vt:lpstr>Lectue2</vt:lpstr>
      <vt:lpstr>Mumbai Branch</vt:lpstr>
      <vt:lpstr>Delhi Branch</vt:lpstr>
      <vt:lpstr>Pune Branch</vt:lpstr>
      <vt:lpstr>Summary Sheet (After Consolidat</vt:lpstr>
      <vt:lpstr>LECTURE3</vt:lpstr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2026-07-14T10:36:28Z</dcterms:created>
  <dcterms:modified xsi:type="dcterms:W3CDTF">2026-08-22T07:26:35Z</dcterms:modified>
</cp:coreProperties>
</file>