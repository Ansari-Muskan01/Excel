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8_{3DB7AD64-5C9F-4AEE-9966-4BE14B4D3B5B}" xr6:coauthVersionLast="47" xr6:coauthVersionMax="47" xr10:uidLastSave="{00000000-0000-0000-0000-000000000000}"/>
  <bookViews>
    <workbookView xWindow="-120" yWindow="-120" windowWidth="20730" windowHeight="11160" activeTab="1" xr2:uid="{65846936-60D0-4107-9417-00D543E8306B}"/>
  </bookViews>
  <sheets>
    <sheet name="Count Function " sheetId="1" r:id="rId1"/>
    <sheet name="Sum Fun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20" i="1"/>
  <c r="G19" i="1"/>
  <c r="G18" i="1"/>
  <c r="C22" i="1"/>
</calcChain>
</file>

<file path=xl/sharedStrings.xml><?xml version="1.0" encoding="utf-8"?>
<sst xmlns="http://schemas.openxmlformats.org/spreadsheetml/2006/main" count="295" uniqueCount="165">
  <si>
    <t>Count Function</t>
  </si>
  <si>
    <t>Definition : The COUNT function counts the number of cells that contain numbers in a selected range.</t>
  </si>
  <si>
    <t>Why do we use COUNT?</t>
  </si>
  <si>
    <t>To count numeric values.</t>
  </si>
  <si>
    <t>To count marks, sales, quantities, or IDs.</t>
  </si>
  <si>
    <t>To know how many records contain numbers.</t>
  </si>
  <si>
    <t>Syntax  : =COUNT(value1, [value2], ...)</t>
  </si>
  <si>
    <t>Example</t>
  </si>
  <si>
    <t>Marks</t>
  </si>
  <si>
    <t>A</t>
  </si>
  <si>
    <t>Absent</t>
  </si>
  <si>
    <t xml:space="preserve">Total </t>
  </si>
  <si>
    <r>
      <t>Explanation:</t>
    </r>
    <r>
      <rPr>
        <sz val="11"/>
        <color theme="1"/>
        <rFont val="Aptos Narrow"/>
        <family val="2"/>
        <scheme val="minor"/>
      </rPr>
      <t xml:space="preserve"> COUNT counts only numeric values (85, 92, 78, 65, 90).</t>
    </r>
  </si>
  <si>
    <t>Student Name</t>
  </si>
  <si>
    <t>Rahul</t>
  </si>
  <si>
    <t>Priya</t>
  </si>
  <si>
    <t>Amit</t>
  </si>
  <si>
    <t>Neha</t>
  </si>
  <si>
    <t>Arjun</t>
  </si>
  <si>
    <t>Sneha</t>
  </si>
  <si>
    <t>Mohit</t>
  </si>
  <si>
    <t>Count IF</t>
  </si>
  <si>
    <t>Definition : The COUNTIF function counts the number of cells that meet one specific condition.</t>
  </si>
  <si>
    <t>Why do we use COUNTIF?</t>
  </si>
  <si>
    <t>Count students who passed.</t>
  </si>
  <si>
    <t>Count products in a category.</t>
  </si>
  <si>
    <t>Count employees from one department.</t>
  </si>
  <si>
    <t>Count orders with a specific status.</t>
  </si>
  <si>
    <t>Syntax : =COUNTIF(range, criteria)</t>
  </si>
  <si>
    <t>Argument</t>
  </si>
  <si>
    <t>Meaning</t>
  </si>
  <si>
    <t>range</t>
  </si>
  <si>
    <t>The range of cells to check.</t>
  </si>
  <si>
    <t>criteria</t>
  </si>
  <si>
    <t>The condition that must be met.</t>
  </si>
  <si>
    <t>Student</t>
  </si>
  <si>
    <r>
      <t>Question:</t>
    </r>
    <r>
      <rPr>
        <sz val="11"/>
        <color theme="1"/>
        <rFont val="Aptos Narrow"/>
        <family val="2"/>
        <scheme val="minor"/>
      </rPr>
      <t xml:space="preserve"> Count students who scored </t>
    </r>
    <r>
      <rPr>
        <b/>
        <sz val="11"/>
        <color theme="1"/>
        <rFont val="Aptos Narrow"/>
        <family val="2"/>
        <scheme val="minor"/>
      </rPr>
      <t>50 or more</t>
    </r>
    <r>
      <rPr>
        <sz val="11"/>
        <color theme="1"/>
        <rFont val="Aptos Narrow"/>
        <family val="2"/>
        <scheme val="minor"/>
      </rPr>
      <t>.</t>
    </r>
  </si>
  <si>
    <t>COUNTIFS Function</t>
  </si>
  <si>
    <t>Definition : The COUNTIFS function counts cells that satisfy multiple conditions.</t>
  </si>
  <si>
    <t>Why do we use COUNTIFS?</t>
  </si>
  <si>
    <t>Count sales from a specific region and category.</t>
  </si>
  <si>
    <t>Count employees from a department with a certain salary.</t>
  </si>
  <si>
    <t>Count students who passed in a particular class.</t>
  </si>
  <si>
    <t>Syntax : =COUNTIFS(criteria_range1, criteria1, criteria_range2, criteria2, ...)</t>
  </si>
  <si>
    <t>criteria_range1</t>
  </si>
  <si>
    <t>First range to evaluate.</t>
  </si>
  <si>
    <t>criteria1</t>
  </si>
  <si>
    <t>First condition.</t>
  </si>
  <si>
    <t>criteria_range2</t>
  </si>
  <si>
    <t>Second range to evaluate.</t>
  </si>
  <si>
    <t>criteria2</t>
  </si>
  <si>
    <t>Second condition.</t>
  </si>
  <si>
    <r>
      <t>Question:</t>
    </r>
    <r>
      <rPr>
        <sz val="11"/>
        <color theme="1"/>
        <rFont val="Aptos Narrow"/>
        <family val="2"/>
        <scheme val="minor"/>
      </rPr>
      <t xml:space="preserve"> Count students who are in </t>
    </r>
    <r>
      <rPr>
        <b/>
        <sz val="11"/>
        <color theme="1"/>
        <rFont val="Aptos Narrow"/>
        <family val="2"/>
        <scheme val="minor"/>
      </rPr>
      <t>Class A</t>
    </r>
    <r>
      <rPr>
        <sz val="11"/>
        <color theme="1"/>
        <rFont val="Aptos Narrow"/>
        <family val="2"/>
        <scheme val="minor"/>
      </rPr>
      <t xml:space="preserve"> and scored </t>
    </r>
    <r>
      <rPr>
        <b/>
        <sz val="11"/>
        <color theme="1"/>
        <rFont val="Aptos Narrow"/>
        <family val="2"/>
        <scheme val="minor"/>
      </rPr>
      <t>70 or more</t>
    </r>
    <r>
      <rPr>
        <sz val="11"/>
        <color theme="1"/>
        <rFont val="Aptos Narrow"/>
        <family val="2"/>
        <scheme val="minor"/>
      </rPr>
      <t>.</t>
    </r>
  </si>
  <si>
    <t>Class</t>
  </si>
  <si>
    <t>B</t>
  </si>
  <si>
    <t>Difference Between COUNT, COUNTIF, and COUNTIFS</t>
  </si>
  <si>
    <t>Function</t>
  </si>
  <si>
    <t>Purpose</t>
  </si>
  <si>
    <t>Number of Conditions</t>
  </si>
  <si>
    <t>COUNT</t>
  </si>
  <si>
    <t>Counts numeric cells</t>
  </si>
  <si>
    <t>No condition</t>
  </si>
  <si>
    <t>COUNTIF</t>
  </si>
  <si>
    <t>Counts cells based on one condition</t>
  </si>
  <si>
    <t>One</t>
  </si>
  <si>
    <t>COUNTIFS</t>
  </si>
  <si>
    <t>Counts cells based on multiple conditions</t>
  </si>
  <si>
    <t>Two or more</t>
  </si>
  <si>
    <t>Product</t>
  </si>
  <si>
    <t>Category</t>
  </si>
  <si>
    <t>Region</t>
  </si>
  <si>
    <t>Sales</t>
  </si>
  <si>
    <t>Laptop</t>
  </si>
  <si>
    <t>Electronics</t>
  </si>
  <si>
    <t>North</t>
  </si>
  <si>
    <t>Mouse</t>
  </si>
  <si>
    <t>South</t>
  </si>
  <si>
    <t>Rice</t>
  </si>
  <si>
    <t>Grocery</t>
  </si>
  <si>
    <t>TV</t>
  </si>
  <si>
    <t>West</t>
  </si>
  <si>
    <t>Soap</t>
  </si>
  <si>
    <t>Personal Care</t>
  </si>
  <si>
    <t>Mobile</t>
  </si>
  <si>
    <t>Oil</t>
  </si>
  <si>
    <t>Shampoo</t>
  </si>
  <si>
    <t>AC</t>
  </si>
  <si>
    <t>Sugar</t>
  </si>
  <si>
    <t>Questions</t>
  </si>
  <si>
    <r>
      <t xml:space="preserve">1. Count how many products have numeric sales. </t>
    </r>
    <r>
      <rPr>
        <i/>
        <sz val="11"/>
        <color theme="1"/>
        <rFont val="Aptos Narrow"/>
        <family val="2"/>
        <scheme val="minor"/>
      </rPr>
      <t>(COUNT)</t>
    </r>
  </si>
  <si>
    <r>
      <t xml:space="preserve">2. Count how many products belong to </t>
    </r>
    <r>
      <rPr>
        <b/>
        <sz val="11"/>
        <color theme="1"/>
        <rFont val="Aptos Narrow"/>
        <family val="2"/>
        <scheme val="minor"/>
      </rPr>
      <t>Electronics</t>
    </r>
    <r>
      <rPr>
        <sz val="11"/>
        <color theme="1"/>
        <rFont val="Aptos Narrow"/>
        <family val="2"/>
        <scheme val="minor"/>
      </rPr>
      <t xml:space="preserve">. </t>
    </r>
    <r>
      <rPr>
        <i/>
        <sz val="11"/>
        <color theme="1"/>
        <rFont val="Aptos Narrow"/>
        <family val="2"/>
        <scheme val="minor"/>
      </rPr>
      <t>(COUNTIF)</t>
    </r>
  </si>
  <si>
    <r>
      <t xml:space="preserve">3. Count how many products are sold in the </t>
    </r>
    <r>
      <rPr>
        <b/>
        <sz val="11"/>
        <color theme="1"/>
        <rFont val="Aptos Narrow"/>
        <family val="2"/>
        <scheme val="minor"/>
      </rPr>
      <t>North</t>
    </r>
    <r>
      <rPr>
        <sz val="11"/>
        <color theme="1"/>
        <rFont val="Aptos Narrow"/>
        <family val="2"/>
        <scheme val="minor"/>
      </rPr>
      <t xml:space="preserve"> region. </t>
    </r>
    <r>
      <rPr>
        <i/>
        <sz val="11"/>
        <color theme="1"/>
        <rFont val="Aptos Narrow"/>
        <family val="2"/>
        <scheme val="minor"/>
      </rPr>
      <t>(COUNTIF)</t>
    </r>
  </si>
  <si>
    <r>
      <t xml:space="preserve">4. Count how many products belong to </t>
    </r>
    <r>
      <rPr>
        <b/>
        <sz val="11"/>
        <color theme="1"/>
        <rFont val="Aptos Narrow"/>
        <family val="2"/>
        <scheme val="minor"/>
      </rPr>
      <t>Electronics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are in the </t>
    </r>
    <r>
      <rPr>
        <b/>
        <sz val="11"/>
        <color theme="1"/>
        <rFont val="Aptos Narrow"/>
        <family val="2"/>
        <scheme val="minor"/>
      </rPr>
      <t>North</t>
    </r>
    <r>
      <rPr>
        <sz val="11"/>
        <color theme="1"/>
        <rFont val="Aptos Narrow"/>
        <family val="2"/>
        <scheme val="minor"/>
      </rPr>
      <t xml:space="preserve"> region. </t>
    </r>
    <r>
      <rPr>
        <i/>
        <sz val="11"/>
        <color theme="1"/>
        <rFont val="Aptos Narrow"/>
        <family val="2"/>
        <scheme val="minor"/>
      </rPr>
      <t>(COUNTIFS)</t>
    </r>
  </si>
  <si>
    <r>
      <t xml:space="preserve">5. Count how many </t>
    </r>
    <r>
      <rPr>
        <b/>
        <sz val="11"/>
        <color theme="1"/>
        <rFont val="Aptos Narrow"/>
        <family val="2"/>
        <scheme val="minor"/>
      </rPr>
      <t>Grocery</t>
    </r>
    <r>
      <rPr>
        <sz val="11"/>
        <color theme="1"/>
        <rFont val="Aptos Narrow"/>
        <family val="2"/>
        <scheme val="minor"/>
      </rPr>
      <t xml:space="preserve"> products are sold in the </t>
    </r>
    <r>
      <rPr>
        <b/>
        <sz val="11"/>
        <color theme="1"/>
        <rFont val="Aptos Narrow"/>
        <family val="2"/>
        <scheme val="minor"/>
      </rPr>
      <t>South</t>
    </r>
    <r>
      <rPr>
        <sz val="11"/>
        <color theme="1"/>
        <rFont val="Aptos Narrow"/>
        <family val="2"/>
        <scheme val="minor"/>
      </rPr>
      <t xml:space="preserve"> region. </t>
    </r>
    <r>
      <rPr>
        <i/>
        <sz val="11"/>
        <color theme="1"/>
        <rFont val="Aptos Narrow"/>
        <family val="2"/>
        <scheme val="minor"/>
      </rPr>
      <t>(COUNTIFS)</t>
    </r>
  </si>
  <si>
    <r>
      <t xml:space="preserve">6. Count how many products have sales greater than or equal to </t>
    </r>
    <r>
      <rPr>
        <b/>
        <sz val="11"/>
        <color theme="1"/>
        <rFont val="Aptos Narrow"/>
        <family val="2"/>
        <scheme val="minor"/>
      </rPr>
      <t>20,000</t>
    </r>
    <r>
      <rPr>
        <sz val="11"/>
        <color theme="1"/>
        <rFont val="Aptos Narrow"/>
        <family val="2"/>
        <scheme val="minor"/>
      </rPr>
      <t xml:space="preserve">. </t>
    </r>
    <r>
      <rPr>
        <i/>
        <sz val="11"/>
        <color theme="1"/>
        <rFont val="Aptos Narrow"/>
        <family val="2"/>
        <scheme val="minor"/>
      </rPr>
      <t>(COUNTIF)</t>
    </r>
  </si>
  <si>
    <r>
      <t xml:space="preserve">7. Count how many </t>
    </r>
    <r>
      <rPr>
        <b/>
        <sz val="11"/>
        <color theme="1"/>
        <rFont val="Aptos Narrow"/>
        <family val="2"/>
        <scheme val="minor"/>
      </rPr>
      <t>Electronics</t>
    </r>
    <r>
      <rPr>
        <sz val="11"/>
        <color theme="1"/>
        <rFont val="Aptos Narrow"/>
        <family val="2"/>
        <scheme val="minor"/>
      </rPr>
      <t xml:space="preserve"> products have sales greater than or equal to </t>
    </r>
    <r>
      <rPr>
        <b/>
        <sz val="11"/>
        <color theme="1"/>
        <rFont val="Aptos Narrow"/>
        <family val="2"/>
        <scheme val="minor"/>
      </rPr>
      <t>40,000</t>
    </r>
    <r>
      <rPr>
        <sz val="11"/>
        <color theme="1"/>
        <rFont val="Aptos Narrow"/>
        <family val="2"/>
        <scheme val="minor"/>
      </rPr>
      <t xml:space="preserve">. </t>
    </r>
    <r>
      <rPr>
        <i/>
        <sz val="11"/>
        <color theme="1"/>
        <rFont val="Aptos Narrow"/>
        <family val="2"/>
        <scheme val="minor"/>
      </rPr>
      <t>(COUNTIFS)</t>
    </r>
  </si>
  <si>
    <t>Formula</t>
  </si>
  <si>
    <t>Range</t>
  </si>
  <si>
    <t xml:space="preserve"> Individual cells</t>
  </si>
  <si>
    <t>Numbers</t>
  </si>
  <si>
    <t xml:space="preserve"> Multiple ranges</t>
  </si>
  <si>
    <t>Column1</t>
  </si>
  <si>
    <t>Column2</t>
  </si>
  <si>
    <t>Sum Function</t>
  </si>
  <si>
    <t>Definition : The SUM function adds all the numeric values in a selected range and returns the total.</t>
  </si>
  <si>
    <t>Why do we use SUM?</t>
  </si>
  <si>
    <t>To calculate the total sales.</t>
  </si>
  <si>
    <t>To find the total marks of students.</t>
  </si>
  <si>
    <t>To add quantities, expenses, or profits.</t>
  </si>
  <si>
    <t>To quickly calculate the overall total.</t>
  </si>
  <si>
    <t>Syntax : =SUM(number1, [number2], ...)</t>
  </si>
  <si>
    <r>
      <t>Note: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number1</t>
    </r>
    <r>
      <rPr>
        <sz val="11"/>
        <color theme="1"/>
        <rFont val="Aptos Narrow"/>
        <family val="2"/>
        <scheme val="minor"/>
      </rPr>
      <t xml:space="preserve"> can be a single cell, multiple cells, a range, a number, or a formula.</t>
    </r>
  </si>
  <si>
    <r>
      <t>Note: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value1</t>
    </r>
    <r>
      <rPr>
        <sz val="11"/>
        <color theme="1"/>
        <rFont val="Aptos Narrow"/>
        <family val="2"/>
        <scheme val="minor"/>
      </rPr>
      <t xml:space="preserve"> can be a single cell (A1), multiple cells (A1, B1), a range (A1:A10), </t>
    </r>
  </si>
  <si>
    <t>numbers (10, 20, 30), or formulas.</t>
  </si>
  <si>
    <t>number1</t>
  </si>
  <si>
    <t>The first number, cell, range, or formula to add. (Required)</t>
  </si>
  <si>
    <t>number2</t>
  </si>
  <si>
    <t>Additional numbers, cells, ranges, or formulas to add. (Optional)</t>
  </si>
  <si>
    <t>Quantity</t>
  </si>
  <si>
    <t>Unit Price</t>
  </si>
  <si>
    <t>Total Sales</t>
  </si>
  <si>
    <t>Keyboard</t>
  </si>
  <si>
    <t>Monitor</t>
  </si>
  <si>
    <t>Printer</t>
  </si>
  <si>
    <t>Webcam</t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</si>
  <si>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Grand Total Sales</t>
    </r>
    <r>
      <rPr>
        <sz val="11"/>
        <color theme="1"/>
        <rFont val="Aptos Narrow"/>
        <family val="2"/>
        <scheme val="minor"/>
      </rPr>
      <t>.</t>
    </r>
  </si>
  <si>
    <t>Grand Total</t>
  </si>
  <si>
    <t>SUMIF Function</t>
  </si>
  <si>
    <t>Definition : The SUMIF function adds the values in a range that meet a single condition.</t>
  </si>
  <si>
    <t>Why do we use SUMIF?</t>
  </si>
  <si>
    <t>To add values based on one condition.</t>
  </si>
  <si>
    <t>To calculate sales for a specific region or product.</t>
  </si>
  <si>
    <t>To total marks of a particular student or class.</t>
  </si>
  <si>
    <t>Syntax : =SUMIF(range, criteria, [sum_range])</t>
  </si>
  <si>
    <t>The range of cells where Excel checks the condition.</t>
  </si>
  <si>
    <t>The condition that determines which cells to include in the calculation.</t>
  </si>
  <si>
    <t>sum_range</t>
  </si>
  <si>
    <r>
      <t xml:space="preserve">The cells to add if the condition is met. If omitted, Excel sums the cells in the </t>
    </r>
    <r>
      <rPr>
        <b/>
        <sz val="11"/>
        <color theme="1"/>
        <rFont val="Aptos Narrow"/>
        <family val="2"/>
        <scheme val="minor"/>
      </rPr>
      <t>range</t>
    </r>
    <r>
      <rPr>
        <sz val="11"/>
        <color theme="1"/>
        <rFont val="Aptos Narrow"/>
        <family val="2"/>
        <scheme val="minor"/>
      </rPr>
      <t xml:space="preserve"> itself.</t>
    </r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</si>
  <si>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total sales for the North region</t>
    </r>
    <r>
      <rPr>
        <sz val="11"/>
        <color theme="1"/>
        <rFont val="Aptos Narrow"/>
        <family val="2"/>
        <scheme val="minor"/>
      </rPr>
      <t>.</t>
    </r>
  </si>
  <si>
    <t>East</t>
  </si>
  <si>
    <t>Total</t>
  </si>
  <si>
    <t xml:space="preserve">SUMIFS </t>
  </si>
  <si>
    <t>Definition: The SUMIFS function adds the values in a range that meet multiple conditions.</t>
  </si>
  <si>
    <t>Why do we use SUMIFS?</t>
  </si>
  <si>
    <t>To add values based on multiple conditions.</t>
  </si>
  <si>
    <t>To calculate sales for a specific region and category.</t>
  </si>
  <si>
    <t>To total sales within a specific date range.</t>
  </si>
  <si>
    <t>To analyze data using multiple criteria</t>
  </si>
  <si>
    <t>Syntax:</t>
  </si>
  <si>
    <t>=SUMIFS(sum_range, criteria_range1, criteria1, [criteria_range2, criteria2], ...)</t>
  </si>
  <si>
    <t>The range of cells to add.</t>
  </si>
  <si>
    <t>The first range where Excel checks the condition.</t>
  </si>
  <si>
    <t>The first condition used for the calculation.</t>
  </si>
  <si>
    <t>The second range where Excel checks the condition.</t>
  </si>
  <si>
    <t>The second condition used for the calculation.</t>
  </si>
  <si>
    <t>Calculate the total sales for the North region where the Category is Electronics.</t>
  </si>
  <si>
    <t>Furniture</t>
  </si>
  <si>
    <r>
      <t xml:space="preserve">1. Calculate the total sales of all products. </t>
    </r>
    <r>
      <rPr>
        <b/>
        <sz val="11"/>
        <color theme="1"/>
        <rFont val="Aptos Narrow"/>
        <family val="2"/>
        <scheme val="minor"/>
      </rPr>
      <t>(SUM)</t>
    </r>
  </si>
  <si>
    <r>
      <t xml:space="preserve">2. Calculate the total sales for Electronics products. </t>
    </r>
    <r>
      <rPr>
        <b/>
        <sz val="11"/>
        <color theme="1"/>
        <rFont val="Aptos Narrow"/>
        <family val="2"/>
        <scheme val="minor"/>
      </rPr>
      <t>(SUMIF)</t>
    </r>
  </si>
  <si>
    <r>
      <t xml:space="preserve">3. Calculate the total sales for the North region. </t>
    </r>
    <r>
      <rPr>
        <b/>
        <sz val="11"/>
        <color theme="1"/>
        <rFont val="Aptos Narrow"/>
        <family val="2"/>
        <scheme val="minor"/>
      </rPr>
      <t>(SUMIF)</t>
    </r>
  </si>
  <si>
    <r>
      <t xml:space="preserve">4. Calculate the total sales for Grocery products. </t>
    </r>
    <r>
      <rPr>
        <b/>
        <sz val="11"/>
        <color theme="1"/>
        <rFont val="Aptos Narrow"/>
        <family val="2"/>
        <scheme val="minor"/>
      </rPr>
      <t>(SUMIF)</t>
    </r>
  </si>
  <si>
    <r>
      <t xml:space="preserve">5. Calculate the total sales for Electronics products in the North region. </t>
    </r>
    <r>
      <rPr>
        <b/>
        <sz val="11"/>
        <color theme="1"/>
        <rFont val="Aptos Narrow"/>
        <family val="2"/>
        <scheme val="minor"/>
      </rPr>
      <t>(SUMIFS)</t>
    </r>
  </si>
  <si>
    <r>
      <t xml:space="preserve">6. Calculate the total sales for Grocery products in the South region. </t>
    </r>
    <r>
      <rPr>
        <b/>
        <sz val="11"/>
        <color theme="1"/>
        <rFont val="Aptos Narrow"/>
        <family val="2"/>
        <scheme val="minor"/>
      </rPr>
      <t>(SUMIFS)</t>
    </r>
  </si>
  <si>
    <r>
      <t xml:space="preserve">7. Calculate the total sales for Personal Care products in the North region. </t>
    </r>
    <r>
      <rPr>
        <b/>
        <sz val="11"/>
        <color theme="1"/>
        <rFont val="Aptos Narrow"/>
        <family val="2"/>
        <scheme val="minor"/>
      </rPr>
      <t>(SUMIFS)</t>
    </r>
  </si>
  <si>
    <r>
      <t xml:space="preserve">8. Calculate the total sales for Electronics products in the West region. </t>
    </r>
    <r>
      <rPr>
        <b/>
        <sz val="11"/>
        <color theme="1"/>
        <rFont val="Aptos Narrow"/>
        <family val="2"/>
        <scheme val="minor"/>
      </rPr>
      <t>(SUMIFS)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</si>
</sst>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56082-9708-40EB-BAE3-9B8FC7968ED2}">
  <dimension ref="A1:Q117"/>
  <sheetViews>
    <sheetView topLeftCell="A88" workbookViewId="0">
      <selection activeCell="A94" sqref="A94:I95"/>
    </sheetView>
  </sheetViews>
  <sheetFormatPr defaultRowHeight="15" x14ac:dyDescent="0.25"/>
  <cols>
    <col min="1" max="1" width="17" customWidth="1"/>
    <col min="2" max="2" width="27.140625" customWidth="1"/>
    <col min="3" max="3" width="38.85546875" bestFit="1" customWidth="1"/>
    <col min="4" max="4" width="26.42578125" customWidth="1"/>
    <col min="5" max="5" width="26.7109375" customWidth="1"/>
    <col min="6" max="6" width="14.85546875" customWidth="1"/>
    <col min="12" max="12" width="17" customWidth="1"/>
    <col min="13" max="13" width="13.85546875" customWidth="1"/>
  </cols>
  <sheetData>
    <row r="1" spans="1:16" ht="1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15" customHeigh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4" spans="1:16" ht="18" x14ac:dyDescent="0.25">
      <c r="A4" s="2" t="s">
        <v>1</v>
      </c>
    </row>
    <row r="6" spans="1:16" ht="18" x14ac:dyDescent="0.25">
      <c r="A6" s="2" t="s">
        <v>2</v>
      </c>
      <c r="E6" s="13"/>
      <c r="F6" s="13"/>
      <c r="G6" s="13"/>
      <c r="H6" s="13"/>
      <c r="I6" s="13"/>
      <c r="J6" s="13"/>
    </row>
    <row r="7" spans="1:16" x14ac:dyDescent="0.25">
      <c r="A7" s="1" t="s">
        <v>3</v>
      </c>
      <c r="E7" s="13"/>
      <c r="F7" s="13"/>
      <c r="G7" s="13"/>
      <c r="H7" s="13"/>
      <c r="I7" s="13"/>
      <c r="J7" s="13"/>
    </row>
    <row r="8" spans="1:16" x14ac:dyDescent="0.25">
      <c r="A8" s="1" t="s">
        <v>4</v>
      </c>
      <c r="E8" s="13"/>
      <c r="F8" s="4" t="s">
        <v>13</v>
      </c>
      <c r="G8" s="4" t="s">
        <v>8</v>
      </c>
      <c r="H8" s="13"/>
      <c r="I8" s="15" t="s">
        <v>101</v>
      </c>
      <c r="J8" s="15" t="s">
        <v>102</v>
      </c>
    </row>
    <row r="9" spans="1:16" x14ac:dyDescent="0.25">
      <c r="A9" s="1" t="s">
        <v>5</v>
      </c>
      <c r="E9" s="13"/>
      <c r="F9" s="5" t="s">
        <v>14</v>
      </c>
      <c r="G9" s="5">
        <v>85</v>
      </c>
      <c r="H9" s="13"/>
      <c r="I9" s="5">
        <v>85</v>
      </c>
      <c r="J9" s="5">
        <v>65</v>
      </c>
    </row>
    <row r="10" spans="1:16" x14ac:dyDescent="0.25">
      <c r="E10" s="13"/>
      <c r="F10" s="5" t="s">
        <v>15</v>
      </c>
      <c r="G10" s="5">
        <v>92</v>
      </c>
      <c r="H10" s="13"/>
      <c r="I10" s="5">
        <v>92</v>
      </c>
      <c r="J10" s="5">
        <v>54</v>
      </c>
    </row>
    <row r="11" spans="1:16" ht="18" x14ac:dyDescent="0.3">
      <c r="A11" s="2" t="s">
        <v>6</v>
      </c>
      <c r="C11" s="8" t="s">
        <v>112</v>
      </c>
      <c r="E11" s="13"/>
      <c r="F11" s="5" t="s">
        <v>16</v>
      </c>
      <c r="G11" s="5">
        <v>78</v>
      </c>
      <c r="H11" s="13"/>
      <c r="I11" s="5">
        <v>78</v>
      </c>
      <c r="J11" s="13"/>
    </row>
    <row r="12" spans="1:16" x14ac:dyDescent="0.25">
      <c r="C12" t="s">
        <v>113</v>
      </c>
      <c r="E12" s="13"/>
      <c r="F12" s="5" t="s">
        <v>17</v>
      </c>
      <c r="G12" s="5" t="s">
        <v>9</v>
      </c>
      <c r="H12" s="13"/>
      <c r="I12" s="13"/>
      <c r="J12" s="13"/>
    </row>
    <row r="13" spans="1:16" ht="18" x14ac:dyDescent="0.25">
      <c r="A13" s="2" t="s">
        <v>7</v>
      </c>
      <c r="E13" s="13"/>
      <c r="F13" s="5" t="s">
        <v>18</v>
      </c>
      <c r="G13" s="5">
        <v>65</v>
      </c>
      <c r="H13" s="13"/>
      <c r="I13" s="13"/>
      <c r="J13" s="13"/>
    </row>
    <row r="14" spans="1:16" x14ac:dyDescent="0.25">
      <c r="B14" s="4" t="s">
        <v>13</v>
      </c>
      <c r="C14" s="4" t="s">
        <v>8</v>
      </c>
      <c r="E14" s="13"/>
      <c r="F14" s="5" t="s">
        <v>19</v>
      </c>
      <c r="G14" s="5" t="s">
        <v>10</v>
      </c>
      <c r="H14" s="13"/>
      <c r="I14" s="13"/>
      <c r="J14" s="13"/>
    </row>
    <row r="15" spans="1:16" x14ac:dyDescent="0.25">
      <c r="B15" s="5" t="s">
        <v>14</v>
      </c>
      <c r="C15" s="5">
        <v>85</v>
      </c>
      <c r="E15" s="13"/>
      <c r="F15" s="5" t="s">
        <v>20</v>
      </c>
      <c r="G15" s="5">
        <v>90</v>
      </c>
      <c r="H15" s="13"/>
      <c r="I15" s="13"/>
      <c r="J15" s="13"/>
    </row>
    <row r="16" spans="1:16" x14ac:dyDescent="0.25">
      <c r="B16" s="5" t="s">
        <v>15</v>
      </c>
      <c r="C16" s="5">
        <v>92</v>
      </c>
      <c r="E16" s="13"/>
      <c r="F16" s="13"/>
      <c r="G16" s="13"/>
      <c r="H16" s="13"/>
      <c r="I16" s="13"/>
      <c r="J16" s="13"/>
    </row>
    <row r="17" spans="1:17" x14ac:dyDescent="0.25">
      <c r="B17" s="5" t="s">
        <v>16</v>
      </c>
      <c r="C17" s="5">
        <v>78</v>
      </c>
      <c r="E17" s="13"/>
      <c r="F17" s="5" t="s">
        <v>97</v>
      </c>
      <c r="G17" s="7">
        <f>COUNT(G9:G15)</f>
        <v>5</v>
      </c>
      <c r="H17" s="13"/>
      <c r="I17" s="13"/>
      <c r="J17" s="13"/>
    </row>
    <row r="18" spans="1:17" x14ac:dyDescent="0.25">
      <c r="B18" s="5" t="s">
        <v>17</v>
      </c>
      <c r="C18" s="5" t="s">
        <v>9</v>
      </c>
      <c r="E18" s="13"/>
      <c r="F18" s="7" t="s">
        <v>98</v>
      </c>
      <c r="G18" s="7">
        <f>COUNT(G9,G10,G11,G13,G15)</f>
        <v>5</v>
      </c>
      <c r="H18" s="13"/>
      <c r="I18" s="13"/>
      <c r="J18" s="13"/>
    </row>
    <row r="19" spans="1:17" x14ac:dyDescent="0.25">
      <c r="B19" s="5" t="s">
        <v>18</v>
      </c>
      <c r="C19" s="5">
        <v>65</v>
      </c>
      <c r="E19" s="13"/>
      <c r="F19" s="7" t="s">
        <v>99</v>
      </c>
      <c r="G19" s="7">
        <f>COUNT(10,20,30)</f>
        <v>3</v>
      </c>
      <c r="H19" s="13"/>
      <c r="I19" s="13"/>
      <c r="J19" s="13"/>
    </row>
    <row r="20" spans="1:17" x14ac:dyDescent="0.25">
      <c r="B20" s="5" t="s">
        <v>19</v>
      </c>
      <c r="C20" s="5" t="s">
        <v>10</v>
      </c>
      <c r="E20" s="13"/>
      <c r="F20" s="7" t="s">
        <v>100</v>
      </c>
      <c r="G20" s="7">
        <f>COUNT(I9:I11,J9:J10)</f>
        <v>5</v>
      </c>
      <c r="H20" s="13"/>
      <c r="I20" s="13"/>
      <c r="J20" s="13"/>
    </row>
    <row r="21" spans="1:17" x14ac:dyDescent="0.25">
      <c r="B21" s="5" t="s">
        <v>20</v>
      </c>
      <c r="C21" s="5">
        <v>90</v>
      </c>
    </row>
    <row r="22" spans="1:17" x14ac:dyDescent="0.25">
      <c r="A22" s="8" t="s">
        <v>11</v>
      </c>
      <c r="C22" s="7">
        <f>COUNT(C15:C21)</f>
        <v>5</v>
      </c>
      <c r="D22" s="8"/>
    </row>
    <row r="23" spans="1:17" x14ac:dyDescent="0.25">
      <c r="C23" s="8" t="s">
        <v>12</v>
      </c>
    </row>
    <row r="26" spans="1:17" ht="15" customHeight="1" x14ac:dyDescent="0.25">
      <c r="A26" s="24" t="s">
        <v>21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 spans="1:17" ht="1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</row>
    <row r="29" spans="1:17" ht="18" x14ac:dyDescent="0.25">
      <c r="A29" s="2" t="s">
        <v>22</v>
      </c>
    </row>
    <row r="31" spans="1:17" ht="18" x14ac:dyDescent="0.25">
      <c r="A31" s="2" t="s">
        <v>23</v>
      </c>
    </row>
    <row r="32" spans="1:17" x14ac:dyDescent="0.25">
      <c r="A32" s="1" t="s">
        <v>24</v>
      </c>
    </row>
    <row r="33" spans="1:5" x14ac:dyDescent="0.25">
      <c r="A33" s="1" t="s">
        <v>25</v>
      </c>
    </row>
    <row r="34" spans="1:5" x14ac:dyDescent="0.25">
      <c r="A34" s="1" t="s">
        <v>26</v>
      </c>
    </row>
    <row r="35" spans="1:5" x14ac:dyDescent="0.25">
      <c r="A35" s="1" t="s">
        <v>27</v>
      </c>
    </row>
    <row r="37" spans="1:5" ht="18" x14ac:dyDescent="0.25">
      <c r="A37" s="2" t="s">
        <v>28</v>
      </c>
    </row>
    <row r="39" spans="1:5" x14ac:dyDescent="0.25">
      <c r="A39" s="4" t="s">
        <v>29</v>
      </c>
      <c r="B39" s="4" t="s">
        <v>30</v>
      </c>
    </row>
    <row r="40" spans="1:5" x14ac:dyDescent="0.25">
      <c r="A40" s="5" t="s">
        <v>31</v>
      </c>
      <c r="B40" s="12" t="s">
        <v>32</v>
      </c>
    </row>
    <row r="41" spans="1:5" ht="30" x14ac:dyDescent="0.25">
      <c r="A41" s="5" t="s">
        <v>33</v>
      </c>
      <c r="B41" s="12" t="s">
        <v>34</v>
      </c>
      <c r="E41" s="11"/>
    </row>
    <row r="43" spans="1:5" x14ac:dyDescent="0.25">
      <c r="A43" s="8" t="s">
        <v>36</v>
      </c>
    </row>
    <row r="45" spans="1:5" x14ac:dyDescent="0.25">
      <c r="B45" s="4" t="s">
        <v>35</v>
      </c>
      <c r="C45" s="4" t="s">
        <v>8</v>
      </c>
    </row>
    <row r="46" spans="1:5" x14ac:dyDescent="0.25">
      <c r="B46" s="5" t="s">
        <v>14</v>
      </c>
      <c r="C46" s="5">
        <v>85</v>
      </c>
    </row>
    <row r="47" spans="1:5" x14ac:dyDescent="0.25">
      <c r="B47" s="5" t="s">
        <v>15</v>
      </c>
      <c r="C47" s="5">
        <v>45</v>
      </c>
    </row>
    <row r="48" spans="1:5" x14ac:dyDescent="0.25">
      <c r="B48" s="5" t="s">
        <v>16</v>
      </c>
      <c r="C48" s="5">
        <v>70</v>
      </c>
    </row>
    <row r="49" spans="1:17" x14ac:dyDescent="0.25">
      <c r="B49" s="5" t="s">
        <v>17</v>
      </c>
      <c r="C49" s="5">
        <v>90</v>
      </c>
    </row>
    <row r="50" spans="1:17" x14ac:dyDescent="0.25">
      <c r="B50" s="5" t="s">
        <v>18</v>
      </c>
      <c r="C50" s="5">
        <v>35</v>
      </c>
    </row>
    <row r="51" spans="1:17" x14ac:dyDescent="0.25">
      <c r="B51" s="5" t="s">
        <v>19</v>
      </c>
      <c r="C51" s="5">
        <v>60</v>
      </c>
    </row>
    <row r="52" spans="1:17" x14ac:dyDescent="0.25">
      <c r="A52" s="8" t="s">
        <v>11</v>
      </c>
      <c r="C52" s="6"/>
    </row>
    <row r="55" spans="1:17" x14ac:dyDescent="0.25">
      <c r="A55" s="24" t="s">
        <v>37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</row>
    <row r="58" spans="1:17" ht="18" x14ac:dyDescent="0.25">
      <c r="A58" s="2" t="s">
        <v>38</v>
      </c>
    </row>
    <row r="60" spans="1:17" ht="18" x14ac:dyDescent="0.25">
      <c r="A60" s="2" t="s">
        <v>39</v>
      </c>
    </row>
    <row r="61" spans="1:17" x14ac:dyDescent="0.25">
      <c r="A61" s="1" t="s">
        <v>40</v>
      </c>
    </row>
    <row r="62" spans="1:17" x14ac:dyDescent="0.25">
      <c r="A62" s="1" t="s">
        <v>41</v>
      </c>
    </row>
    <row r="63" spans="1:17" x14ac:dyDescent="0.25">
      <c r="A63" s="1" t="s">
        <v>42</v>
      </c>
    </row>
    <row r="65" spans="1:3" x14ac:dyDescent="0.25">
      <c r="A65" t="s">
        <v>43</v>
      </c>
    </row>
    <row r="67" spans="1:3" x14ac:dyDescent="0.25">
      <c r="A67" s="4" t="s">
        <v>29</v>
      </c>
      <c r="B67" s="4" t="s">
        <v>30</v>
      </c>
    </row>
    <row r="68" spans="1:3" x14ac:dyDescent="0.25">
      <c r="A68" s="9" t="s">
        <v>44</v>
      </c>
      <c r="B68" s="9" t="s">
        <v>45</v>
      </c>
    </row>
    <row r="69" spans="1:3" x14ac:dyDescent="0.25">
      <c r="A69" s="9" t="s">
        <v>46</v>
      </c>
      <c r="B69" s="9" t="s">
        <v>47</v>
      </c>
    </row>
    <row r="70" spans="1:3" x14ac:dyDescent="0.25">
      <c r="A70" s="9" t="s">
        <v>48</v>
      </c>
      <c r="B70" s="9" t="s">
        <v>49</v>
      </c>
    </row>
    <row r="71" spans="1:3" x14ac:dyDescent="0.25">
      <c r="A71" s="9" t="s">
        <v>50</v>
      </c>
      <c r="B71" s="9" t="s">
        <v>51</v>
      </c>
    </row>
    <row r="74" spans="1:3" x14ac:dyDescent="0.25">
      <c r="A74" s="8" t="s">
        <v>52</v>
      </c>
    </row>
    <row r="76" spans="1:3" x14ac:dyDescent="0.25">
      <c r="A76" s="4" t="s">
        <v>35</v>
      </c>
      <c r="B76" s="4" t="s">
        <v>53</v>
      </c>
      <c r="C76" s="4" t="s">
        <v>8</v>
      </c>
    </row>
    <row r="77" spans="1:3" x14ac:dyDescent="0.25">
      <c r="A77" s="5" t="s">
        <v>14</v>
      </c>
      <c r="B77" s="5" t="s">
        <v>9</v>
      </c>
      <c r="C77" s="5">
        <v>85</v>
      </c>
    </row>
    <row r="78" spans="1:3" x14ac:dyDescent="0.25">
      <c r="A78" s="5" t="s">
        <v>15</v>
      </c>
      <c r="B78" s="5" t="s">
        <v>54</v>
      </c>
      <c r="C78" s="5">
        <v>72</v>
      </c>
    </row>
    <row r="79" spans="1:3" x14ac:dyDescent="0.25">
      <c r="A79" s="5" t="s">
        <v>16</v>
      </c>
      <c r="B79" s="5" t="s">
        <v>9</v>
      </c>
      <c r="C79" s="5">
        <v>90</v>
      </c>
    </row>
    <row r="80" spans="1:3" x14ac:dyDescent="0.25">
      <c r="A80" s="5" t="s">
        <v>17</v>
      </c>
      <c r="B80" s="5" t="s">
        <v>9</v>
      </c>
      <c r="C80" s="5">
        <v>45</v>
      </c>
    </row>
    <row r="81" spans="1:17" x14ac:dyDescent="0.25">
      <c r="A81" s="5" t="s">
        <v>18</v>
      </c>
      <c r="B81" s="5" t="s">
        <v>54</v>
      </c>
      <c r="C81" s="5">
        <v>65</v>
      </c>
    </row>
    <row r="82" spans="1:17" x14ac:dyDescent="0.25">
      <c r="A82" s="5" t="s">
        <v>19</v>
      </c>
      <c r="B82" s="5" t="s">
        <v>9</v>
      </c>
      <c r="C82" s="5">
        <v>75</v>
      </c>
    </row>
    <row r="85" spans="1:17" x14ac:dyDescent="0.25">
      <c r="A85" s="24" t="s">
        <v>55</v>
      </c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</row>
    <row r="88" spans="1:17" x14ac:dyDescent="0.25">
      <c r="B88" s="4" t="s">
        <v>56</v>
      </c>
      <c r="C88" s="4" t="s">
        <v>57</v>
      </c>
      <c r="D88" s="4" t="s">
        <v>58</v>
      </c>
    </row>
    <row r="89" spans="1:17" x14ac:dyDescent="0.25">
      <c r="B89" s="9" t="s">
        <v>59</v>
      </c>
      <c r="C89" s="9" t="s">
        <v>60</v>
      </c>
      <c r="D89" s="9" t="s">
        <v>61</v>
      </c>
    </row>
    <row r="90" spans="1:17" x14ac:dyDescent="0.25">
      <c r="B90" s="9" t="s">
        <v>62</v>
      </c>
      <c r="C90" s="9" t="s">
        <v>63</v>
      </c>
      <c r="D90" s="9" t="s">
        <v>64</v>
      </c>
    </row>
    <row r="91" spans="1:17" x14ac:dyDescent="0.25">
      <c r="B91" s="9" t="s">
        <v>65</v>
      </c>
      <c r="C91" s="9" t="s">
        <v>66</v>
      </c>
      <c r="D91" s="9" t="s">
        <v>67</v>
      </c>
    </row>
    <row r="94" spans="1:17" ht="15" customHeight="1" x14ac:dyDescent="0.4">
      <c r="A94" s="24" t="s">
        <v>88</v>
      </c>
      <c r="B94" s="24"/>
      <c r="C94" s="24"/>
      <c r="D94" s="24"/>
      <c r="E94" s="24"/>
      <c r="F94" s="24"/>
      <c r="G94" s="24"/>
      <c r="H94" s="24"/>
      <c r="I94" s="24"/>
      <c r="J94" s="23"/>
      <c r="K94" s="23"/>
      <c r="L94" s="23"/>
      <c r="M94" s="23"/>
      <c r="N94" s="23"/>
      <c r="O94" s="23"/>
      <c r="P94" s="23"/>
      <c r="Q94" s="23"/>
    </row>
    <row r="95" spans="1:17" ht="15" customHeight="1" x14ac:dyDescent="0.4">
      <c r="A95" s="24"/>
      <c r="B95" s="24"/>
      <c r="C95" s="24"/>
      <c r="D95" s="24"/>
      <c r="E95" s="24"/>
      <c r="F95" s="24"/>
      <c r="G95" s="24"/>
      <c r="H95" s="24"/>
      <c r="I95" s="24"/>
      <c r="J95" s="23"/>
      <c r="K95" s="23"/>
      <c r="L95" s="23"/>
      <c r="M95" s="23"/>
      <c r="N95" s="23"/>
      <c r="O95" s="23"/>
      <c r="P95" s="23"/>
      <c r="Q95" s="23"/>
    </row>
    <row r="97" spans="2:5" x14ac:dyDescent="0.25">
      <c r="B97" s="4" t="s">
        <v>68</v>
      </c>
      <c r="C97" s="4" t="s">
        <v>69</v>
      </c>
      <c r="D97" s="4" t="s">
        <v>70</v>
      </c>
      <c r="E97" s="4" t="s">
        <v>71</v>
      </c>
    </row>
    <row r="98" spans="2:5" x14ac:dyDescent="0.25">
      <c r="B98" s="5" t="s">
        <v>72</v>
      </c>
      <c r="C98" s="5" t="s">
        <v>73</v>
      </c>
      <c r="D98" s="5" t="s">
        <v>74</v>
      </c>
      <c r="E98" s="5">
        <v>45000</v>
      </c>
    </row>
    <row r="99" spans="2:5" x14ac:dyDescent="0.25">
      <c r="B99" s="5" t="s">
        <v>75</v>
      </c>
      <c r="C99" s="5" t="s">
        <v>73</v>
      </c>
      <c r="D99" s="5" t="s">
        <v>76</v>
      </c>
      <c r="E99" s="5">
        <v>800</v>
      </c>
    </row>
    <row r="100" spans="2:5" x14ac:dyDescent="0.25">
      <c r="B100" s="5" t="s">
        <v>77</v>
      </c>
      <c r="C100" s="5" t="s">
        <v>78</v>
      </c>
      <c r="D100" s="5" t="s">
        <v>74</v>
      </c>
      <c r="E100" s="5">
        <v>2500</v>
      </c>
    </row>
    <row r="101" spans="2:5" x14ac:dyDescent="0.25">
      <c r="B101" s="5" t="s">
        <v>79</v>
      </c>
      <c r="C101" s="5" t="s">
        <v>73</v>
      </c>
      <c r="D101" s="5" t="s">
        <v>80</v>
      </c>
      <c r="E101" s="5">
        <v>38000</v>
      </c>
    </row>
    <row r="102" spans="2:5" x14ac:dyDescent="0.25">
      <c r="B102" s="5" t="s">
        <v>81</v>
      </c>
      <c r="C102" s="5" t="s">
        <v>82</v>
      </c>
      <c r="D102" s="5" t="s">
        <v>74</v>
      </c>
      <c r="E102" s="5">
        <v>350</v>
      </c>
    </row>
    <row r="103" spans="2:5" x14ac:dyDescent="0.25">
      <c r="B103" s="5" t="s">
        <v>83</v>
      </c>
      <c r="C103" s="5" t="s">
        <v>73</v>
      </c>
      <c r="D103" s="5" t="s">
        <v>74</v>
      </c>
      <c r="E103" s="5">
        <v>25000</v>
      </c>
    </row>
    <row r="104" spans="2:5" x14ac:dyDescent="0.25">
      <c r="B104" s="5" t="s">
        <v>84</v>
      </c>
      <c r="C104" s="5" t="s">
        <v>78</v>
      </c>
      <c r="D104" s="5" t="s">
        <v>76</v>
      </c>
      <c r="E104" s="5">
        <v>1800</v>
      </c>
    </row>
    <row r="105" spans="2:5" x14ac:dyDescent="0.25">
      <c r="B105" s="5" t="s">
        <v>85</v>
      </c>
      <c r="C105" s="5" t="s">
        <v>82</v>
      </c>
      <c r="D105" s="5" t="s">
        <v>74</v>
      </c>
      <c r="E105" s="5">
        <v>650</v>
      </c>
    </row>
    <row r="106" spans="2:5" x14ac:dyDescent="0.25">
      <c r="B106" s="5" t="s">
        <v>86</v>
      </c>
      <c r="C106" s="5" t="s">
        <v>73</v>
      </c>
      <c r="D106" s="5" t="s">
        <v>74</v>
      </c>
      <c r="E106" s="5">
        <v>42000</v>
      </c>
    </row>
    <row r="107" spans="2:5" x14ac:dyDescent="0.25">
      <c r="B107" s="5" t="s">
        <v>87</v>
      </c>
      <c r="C107" s="5" t="s">
        <v>78</v>
      </c>
      <c r="D107" s="5" t="s">
        <v>80</v>
      </c>
      <c r="E107" s="5">
        <v>1200</v>
      </c>
    </row>
    <row r="110" spans="2:5" ht="18" x14ac:dyDescent="0.25">
      <c r="B110" s="2" t="s">
        <v>88</v>
      </c>
      <c r="E110" s="14" t="s">
        <v>96</v>
      </c>
    </row>
    <row r="111" spans="2:5" x14ac:dyDescent="0.25">
      <c r="B111" s="3" t="s">
        <v>89</v>
      </c>
      <c r="E111" s="6"/>
    </row>
    <row r="112" spans="2:5" x14ac:dyDescent="0.25">
      <c r="B112" s="3" t="s">
        <v>90</v>
      </c>
      <c r="E112" s="6"/>
    </row>
    <row r="113" spans="2:5" x14ac:dyDescent="0.25">
      <c r="B113" s="3" t="s">
        <v>91</v>
      </c>
      <c r="E113" s="6"/>
    </row>
    <row r="114" spans="2:5" x14ac:dyDescent="0.25">
      <c r="B114" s="3" t="s">
        <v>92</v>
      </c>
      <c r="E114" s="6"/>
    </row>
    <row r="115" spans="2:5" x14ac:dyDescent="0.25">
      <c r="B115" s="3" t="s">
        <v>93</v>
      </c>
      <c r="E115" s="6"/>
    </row>
    <row r="116" spans="2:5" x14ac:dyDescent="0.25">
      <c r="B116" s="3" t="s">
        <v>94</v>
      </c>
      <c r="E116" s="6"/>
    </row>
    <row r="117" spans="2:5" x14ac:dyDescent="0.25">
      <c r="B117" s="3" t="s">
        <v>95</v>
      </c>
      <c r="E117" s="6"/>
    </row>
  </sheetData>
  <mergeCells count="5">
    <mergeCell ref="A1:P2"/>
    <mergeCell ref="A26:Q27"/>
    <mergeCell ref="A55:Q56"/>
    <mergeCell ref="A85:Q86"/>
    <mergeCell ref="A94:I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371D-E81C-43FF-BC6F-F5B8FFA548AC}">
  <dimension ref="A1:P116"/>
  <sheetViews>
    <sheetView tabSelected="1" topLeftCell="A104" workbookViewId="0">
      <selection sqref="A1:P2"/>
    </sheetView>
  </sheetViews>
  <sheetFormatPr defaultRowHeight="15" x14ac:dyDescent="0.25"/>
  <cols>
    <col min="1" max="1" width="28.28515625" customWidth="1"/>
    <col min="2" max="2" width="47" customWidth="1"/>
    <col min="3" max="3" width="13.42578125" customWidth="1"/>
    <col min="4" max="4" width="14.42578125" customWidth="1"/>
    <col min="5" max="5" width="17.28515625" customWidth="1"/>
  </cols>
  <sheetData>
    <row r="1" spans="1:16" x14ac:dyDescent="0.25">
      <c r="A1" s="24" t="s">
        <v>103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4" spans="1:16" x14ac:dyDescent="0.25">
      <c r="A4" t="s">
        <v>104</v>
      </c>
    </row>
    <row r="6" spans="1:16" ht="18" x14ac:dyDescent="0.25">
      <c r="A6" s="2" t="s">
        <v>105</v>
      </c>
    </row>
    <row r="7" spans="1:16" x14ac:dyDescent="0.25">
      <c r="A7" s="1" t="s">
        <v>106</v>
      </c>
    </row>
    <row r="8" spans="1:16" x14ac:dyDescent="0.25">
      <c r="A8" s="1" t="s">
        <v>107</v>
      </c>
    </row>
    <row r="9" spans="1:16" x14ac:dyDescent="0.25">
      <c r="A9" s="1" t="s">
        <v>108</v>
      </c>
    </row>
    <row r="10" spans="1:16" x14ac:dyDescent="0.25">
      <c r="A10" s="1" t="s">
        <v>109</v>
      </c>
    </row>
    <row r="12" spans="1:16" ht="15.75" x14ac:dyDescent="0.3">
      <c r="A12" t="s">
        <v>110</v>
      </c>
      <c r="C12" s="8" t="s">
        <v>111</v>
      </c>
      <c r="F12" s="8"/>
    </row>
    <row r="14" spans="1:16" x14ac:dyDescent="0.25">
      <c r="A14" s="4" t="s">
        <v>29</v>
      </c>
      <c r="B14" s="26" t="s">
        <v>30</v>
      </c>
      <c r="C14" s="27"/>
      <c r="D14" s="27"/>
      <c r="E14" s="28"/>
    </row>
    <row r="15" spans="1:16" x14ac:dyDescent="0.25">
      <c r="A15" s="9" t="s">
        <v>114</v>
      </c>
      <c r="B15" s="25" t="s">
        <v>115</v>
      </c>
      <c r="C15" s="25"/>
      <c r="D15" s="25"/>
      <c r="E15" s="25"/>
    </row>
    <row r="16" spans="1:16" x14ac:dyDescent="0.25">
      <c r="A16" s="9" t="s">
        <v>116</v>
      </c>
      <c r="B16" s="25" t="s">
        <v>117</v>
      </c>
      <c r="C16" s="25"/>
      <c r="D16" s="25"/>
      <c r="E16" s="25"/>
    </row>
    <row r="17" spans="1:16" x14ac:dyDescent="0.25">
      <c r="A17" s="16"/>
      <c r="B17" s="11"/>
      <c r="C17" s="11"/>
      <c r="D17" s="11"/>
      <c r="E17" s="11"/>
    </row>
    <row r="18" spans="1:16" x14ac:dyDescent="0.25">
      <c r="A18" t="s">
        <v>125</v>
      </c>
      <c r="B18" s="11"/>
      <c r="C18" s="11"/>
      <c r="D18" s="11"/>
      <c r="E18" s="11"/>
    </row>
    <row r="20" spans="1:16" x14ac:dyDescent="0.25">
      <c r="B20" s="4" t="s">
        <v>68</v>
      </c>
      <c r="C20" s="4" t="s">
        <v>118</v>
      </c>
      <c r="D20" s="4" t="s">
        <v>119</v>
      </c>
      <c r="E20" s="4" t="s">
        <v>120</v>
      </c>
    </row>
    <row r="21" spans="1:16" x14ac:dyDescent="0.25">
      <c r="B21" s="5" t="s">
        <v>72</v>
      </c>
      <c r="C21" s="5">
        <v>5</v>
      </c>
      <c r="D21" s="5">
        <v>50000</v>
      </c>
      <c r="E21" s="5">
        <v>250000</v>
      </c>
    </row>
    <row r="22" spans="1:16" x14ac:dyDescent="0.25">
      <c r="B22" s="5" t="s">
        <v>75</v>
      </c>
      <c r="C22" s="5">
        <v>20</v>
      </c>
      <c r="D22" s="5">
        <v>500</v>
      </c>
      <c r="E22" s="5">
        <v>10000</v>
      </c>
    </row>
    <row r="23" spans="1:16" x14ac:dyDescent="0.25">
      <c r="B23" s="5" t="s">
        <v>121</v>
      </c>
      <c r="C23" s="5">
        <v>15</v>
      </c>
      <c r="D23" s="5">
        <v>1200</v>
      </c>
      <c r="E23" s="5">
        <v>18000</v>
      </c>
    </row>
    <row r="24" spans="1:16" x14ac:dyDescent="0.25">
      <c r="B24" s="5" t="s">
        <v>122</v>
      </c>
      <c r="C24" s="5">
        <v>8</v>
      </c>
      <c r="D24" s="5">
        <v>15000</v>
      </c>
      <c r="E24" s="5">
        <v>120000</v>
      </c>
    </row>
    <row r="25" spans="1:16" x14ac:dyDescent="0.25">
      <c r="B25" s="5" t="s">
        <v>123</v>
      </c>
      <c r="C25" s="5">
        <v>6</v>
      </c>
      <c r="D25" s="5">
        <v>9000</v>
      </c>
      <c r="E25" s="5">
        <v>54000</v>
      </c>
    </row>
    <row r="26" spans="1:16" x14ac:dyDescent="0.25">
      <c r="B26" s="5" t="s">
        <v>124</v>
      </c>
      <c r="C26" s="5">
        <v>10</v>
      </c>
      <c r="D26" s="5">
        <v>2500</v>
      </c>
      <c r="E26" s="5">
        <v>25000</v>
      </c>
    </row>
    <row r="27" spans="1:16" x14ac:dyDescent="0.25">
      <c r="B27" s="17"/>
      <c r="C27" s="17"/>
      <c r="D27" s="8" t="s">
        <v>126</v>
      </c>
      <c r="E27" s="5"/>
    </row>
    <row r="29" spans="1:16" x14ac:dyDescent="0.25">
      <c r="A29" s="24" t="s">
        <v>127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</row>
    <row r="30" spans="1:16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2" spans="1:16" x14ac:dyDescent="0.25">
      <c r="A32" t="s">
        <v>128</v>
      </c>
    </row>
    <row r="34" spans="1:4" ht="18" x14ac:dyDescent="0.25">
      <c r="A34" s="2" t="s">
        <v>129</v>
      </c>
    </row>
    <row r="35" spans="1:4" x14ac:dyDescent="0.25">
      <c r="A35" s="3" t="s">
        <v>130</v>
      </c>
    </row>
    <row r="36" spans="1:4" x14ac:dyDescent="0.25">
      <c r="A36" s="3" t="s">
        <v>131</v>
      </c>
    </row>
    <row r="37" spans="1:4" x14ac:dyDescent="0.25">
      <c r="A37" s="3" t="s">
        <v>132</v>
      </c>
    </row>
    <row r="39" spans="1:4" x14ac:dyDescent="0.25">
      <c r="A39" t="s">
        <v>133</v>
      </c>
    </row>
    <row r="41" spans="1:4" x14ac:dyDescent="0.25">
      <c r="A41" s="10" t="s">
        <v>29</v>
      </c>
      <c r="B41" s="30" t="s">
        <v>30</v>
      </c>
      <c r="C41" s="30"/>
      <c r="D41" s="30"/>
    </row>
    <row r="42" spans="1:4" x14ac:dyDescent="0.25">
      <c r="A42" s="9" t="s">
        <v>31</v>
      </c>
      <c r="B42" s="29" t="s">
        <v>134</v>
      </c>
      <c r="C42" s="29"/>
      <c r="D42" s="29"/>
    </row>
    <row r="43" spans="1:4" ht="14.25" customHeight="1" x14ac:dyDescent="0.25">
      <c r="A43" s="9" t="s">
        <v>33</v>
      </c>
      <c r="B43" s="29" t="s">
        <v>135</v>
      </c>
      <c r="C43" s="29"/>
      <c r="D43" s="29"/>
    </row>
    <row r="44" spans="1:4" ht="15.75" customHeight="1" x14ac:dyDescent="0.25">
      <c r="A44" s="9" t="s">
        <v>136</v>
      </c>
      <c r="B44" s="29" t="s">
        <v>137</v>
      </c>
      <c r="C44" s="29"/>
      <c r="D44" s="29"/>
    </row>
    <row r="46" spans="1:4" x14ac:dyDescent="0.25">
      <c r="A46" t="s">
        <v>138</v>
      </c>
    </row>
    <row r="48" spans="1:4" x14ac:dyDescent="0.25">
      <c r="B48" s="4" t="s">
        <v>70</v>
      </c>
      <c r="C48" s="4" t="s">
        <v>71</v>
      </c>
    </row>
    <row r="49" spans="1:16" x14ac:dyDescent="0.25">
      <c r="B49" s="5" t="s">
        <v>74</v>
      </c>
      <c r="C49" s="5">
        <v>50000</v>
      </c>
    </row>
    <row r="50" spans="1:16" x14ac:dyDescent="0.25">
      <c r="B50" s="5" t="s">
        <v>76</v>
      </c>
      <c r="C50" s="5">
        <v>42000</v>
      </c>
    </row>
    <row r="51" spans="1:16" x14ac:dyDescent="0.25">
      <c r="B51" s="5" t="s">
        <v>74</v>
      </c>
      <c r="C51" s="5">
        <v>38000</v>
      </c>
    </row>
    <row r="52" spans="1:16" x14ac:dyDescent="0.25">
      <c r="B52" s="5" t="s">
        <v>139</v>
      </c>
      <c r="C52" s="5">
        <v>25000</v>
      </c>
    </row>
    <row r="53" spans="1:16" x14ac:dyDescent="0.25">
      <c r="B53" s="5" t="s">
        <v>74</v>
      </c>
      <c r="C53" s="5">
        <v>60000</v>
      </c>
    </row>
    <row r="54" spans="1:16" x14ac:dyDescent="0.25">
      <c r="B54" s="5" t="s">
        <v>80</v>
      </c>
      <c r="C54" s="5">
        <v>47000</v>
      </c>
    </row>
    <row r="55" spans="1:16" x14ac:dyDescent="0.25">
      <c r="B55" s="5" t="s">
        <v>76</v>
      </c>
      <c r="C55" s="5">
        <v>35000</v>
      </c>
    </row>
    <row r="56" spans="1:16" x14ac:dyDescent="0.25">
      <c r="B56" s="5" t="s">
        <v>74</v>
      </c>
      <c r="C56" s="5">
        <v>55000</v>
      </c>
    </row>
    <row r="57" spans="1:16" x14ac:dyDescent="0.25">
      <c r="B57" s="18" t="s">
        <v>140</v>
      </c>
      <c r="C57" s="6"/>
    </row>
    <row r="59" spans="1:16" x14ac:dyDescent="0.25">
      <c r="A59" s="24" t="s">
        <v>141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1:16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2" spans="1:16" x14ac:dyDescent="0.25">
      <c r="A62" t="s">
        <v>142</v>
      </c>
    </row>
    <row r="64" spans="1:16" ht="18" x14ac:dyDescent="0.25">
      <c r="A64" s="2" t="s">
        <v>143</v>
      </c>
    </row>
    <row r="65" spans="1:2" x14ac:dyDescent="0.25">
      <c r="A65" s="3" t="s">
        <v>144</v>
      </c>
    </row>
    <row r="66" spans="1:2" x14ac:dyDescent="0.25">
      <c r="A66" s="3" t="s">
        <v>145</v>
      </c>
    </row>
    <row r="67" spans="1:2" x14ac:dyDescent="0.25">
      <c r="A67" s="3" t="s">
        <v>146</v>
      </c>
    </row>
    <row r="68" spans="1:2" x14ac:dyDescent="0.25">
      <c r="A68" s="3" t="s">
        <v>147</v>
      </c>
    </row>
    <row r="70" spans="1:2" ht="18" x14ac:dyDescent="0.25">
      <c r="A70" s="2" t="s">
        <v>148</v>
      </c>
      <c r="B70" s="19" t="s">
        <v>149</v>
      </c>
    </row>
    <row r="72" spans="1:2" x14ac:dyDescent="0.25">
      <c r="A72" s="10" t="s">
        <v>29</v>
      </c>
      <c r="B72" s="10" t="s">
        <v>30</v>
      </c>
    </row>
    <row r="73" spans="1:2" x14ac:dyDescent="0.25">
      <c r="A73" s="10" t="s">
        <v>136</v>
      </c>
      <c r="B73" s="9" t="s">
        <v>150</v>
      </c>
    </row>
    <row r="74" spans="1:2" x14ac:dyDescent="0.25">
      <c r="A74" s="10" t="s">
        <v>44</v>
      </c>
      <c r="B74" s="9" t="s">
        <v>151</v>
      </c>
    </row>
    <row r="75" spans="1:2" x14ac:dyDescent="0.25">
      <c r="A75" s="10" t="s">
        <v>46</v>
      </c>
      <c r="B75" s="9" t="s">
        <v>152</v>
      </c>
    </row>
    <row r="76" spans="1:2" ht="30" x14ac:dyDescent="0.25">
      <c r="A76" s="10" t="s">
        <v>48</v>
      </c>
      <c r="B76" s="9" t="s">
        <v>153</v>
      </c>
    </row>
    <row r="77" spans="1:2" x14ac:dyDescent="0.25">
      <c r="A77" s="10" t="s">
        <v>50</v>
      </c>
      <c r="B77" s="9" t="s">
        <v>154</v>
      </c>
    </row>
    <row r="79" spans="1:2" x14ac:dyDescent="0.25">
      <c r="A79" s="8" t="s">
        <v>155</v>
      </c>
    </row>
    <row r="81" spans="1:16" x14ac:dyDescent="0.25">
      <c r="B81" s="4" t="s">
        <v>70</v>
      </c>
      <c r="C81" s="4" t="s">
        <v>69</v>
      </c>
      <c r="D81" s="4" t="s">
        <v>71</v>
      </c>
    </row>
    <row r="82" spans="1:16" x14ac:dyDescent="0.25">
      <c r="B82" s="5" t="s">
        <v>74</v>
      </c>
      <c r="C82" s="5" t="s">
        <v>73</v>
      </c>
      <c r="D82" s="21">
        <v>50000</v>
      </c>
    </row>
    <row r="83" spans="1:16" x14ac:dyDescent="0.25">
      <c r="B83" s="5" t="s">
        <v>76</v>
      </c>
      <c r="C83" s="5" t="s">
        <v>73</v>
      </c>
      <c r="D83" s="21">
        <v>42000</v>
      </c>
    </row>
    <row r="84" spans="1:16" x14ac:dyDescent="0.25">
      <c r="B84" s="5" t="s">
        <v>74</v>
      </c>
      <c r="C84" s="5" t="s">
        <v>156</v>
      </c>
      <c r="D84" s="21">
        <v>38000</v>
      </c>
    </row>
    <row r="85" spans="1:16" x14ac:dyDescent="0.25">
      <c r="B85" s="5" t="s">
        <v>139</v>
      </c>
      <c r="C85" s="5" t="s">
        <v>73</v>
      </c>
      <c r="D85" s="21">
        <v>25000</v>
      </c>
    </row>
    <row r="86" spans="1:16" x14ac:dyDescent="0.25">
      <c r="B86" s="5" t="s">
        <v>74</v>
      </c>
      <c r="C86" s="5" t="s">
        <v>73</v>
      </c>
      <c r="D86" s="21">
        <v>60000</v>
      </c>
    </row>
    <row r="87" spans="1:16" x14ac:dyDescent="0.25">
      <c r="B87" s="5" t="s">
        <v>80</v>
      </c>
      <c r="C87" s="5" t="s">
        <v>156</v>
      </c>
      <c r="D87" s="21">
        <v>47000</v>
      </c>
    </row>
    <row r="88" spans="1:16" x14ac:dyDescent="0.25">
      <c r="B88" s="5" t="s">
        <v>76</v>
      </c>
      <c r="C88" s="5" t="s">
        <v>73</v>
      </c>
      <c r="D88" s="21">
        <v>35000</v>
      </c>
    </row>
    <row r="89" spans="1:16" x14ac:dyDescent="0.25">
      <c r="B89" s="5" t="s">
        <v>74</v>
      </c>
      <c r="C89" s="5" t="s">
        <v>73</v>
      </c>
      <c r="D89" s="21">
        <v>55000</v>
      </c>
    </row>
    <row r="90" spans="1:16" x14ac:dyDescent="0.25">
      <c r="B90" s="18" t="s">
        <v>140</v>
      </c>
      <c r="C90" s="9"/>
      <c r="D90" s="22"/>
    </row>
    <row r="92" spans="1:16" x14ac:dyDescent="0.25">
      <c r="A92" s="24" t="s">
        <v>88</v>
      </c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5" spans="1:16" x14ac:dyDescent="0.25">
      <c r="B95" s="4" t="s">
        <v>68</v>
      </c>
      <c r="C95" s="4" t="s">
        <v>69</v>
      </c>
      <c r="D95" s="4" t="s">
        <v>70</v>
      </c>
      <c r="E95" s="4" t="s">
        <v>71</v>
      </c>
    </row>
    <row r="96" spans="1:16" x14ac:dyDescent="0.25">
      <c r="B96" s="5" t="s">
        <v>72</v>
      </c>
      <c r="C96" s="5" t="s">
        <v>73</v>
      </c>
      <c r="D96" s="5" t="s">
        <v>74</v>
      </c>
      <c r="E96" s="21">
        <v>45000</v>
      </c>
    </row>
    <row r="97" spans="1:5" x14ac:dyDescent="0.25">
      <c r="B97" s="5" t="s">
        <v>75</v>
      </c>
      <c r="C97" s="5" t="s">
        <v>73</v>
      </c>
      <c r="D97" s="5" t="s">
        <v>76</v>
      </c>
      <c r="E97" s="5">
        <v>800</v>
      </c>
    </row>
    <row r="98" spans="1:5" x14ac:dyDescent="0.25">
      <c r="B98" s="5" t="s">
        <v>77</v>
      </c>
      <c r="C98" s="5" t="s">
        <v>78</v>
      </c>
      <c r="D98" s="5" t="s">
        <v>74</v>
      </c>
      <c r="E98" s="21">
        <v>2500</v>
      </c>
    </row>
    <row r="99" spans="1:5" x14ac:dyDescent="0.25">
      <c r="B99" s="5" t="s">
        <v>79</v>
      </c>
      <c r="C99" s="5" t="s">
        <v>73</v>
      </c>
      <c r="D99" s="5" t="s">
        <v>80</v>
      </c>
      <c r="E99" s="21">
        <v>38000</v>
      </c>
    </row>
    <row r="100" spans="1:5" x14ac:dyDescent="0.25">
      <c r="B100" s="5" t="s">
        <v>81</v>
      </c>
      <c r="C100" s="5" t="s">
        <v>82</v>
      </c>
      <c r="D100" s="5" t="s">
        <v>74</v>
      </c>
      <c r="E100" s="5">
        <v>350</v>
      </c>
    </row>
    <row r="101" spans="1:5" x14ac:dyDescent="0.25">
      <c r="B101" s="5" t="s">
        <v>83</v>
      </c>
      <c r="C101" s="5" t="s">
        <v>73</v>
      </c>
      <c r="D101" s="5" t="s">
        <v>74</v>
      </c>
      <c r="E101" s="21">
        <v>25000</v>
      </c>
    </row>
    <row r="102" spans="1:5" x14ac:dyDescent="0.25">
      <c r="B102" s="5" t="s">
        <v>84</v>
      </c>
      <c r="C102" s="5" t="s">
        <v>78</v>
      </c>
      <c r="D102" s="5" t="s">
        <v>76</v>
      </c>
      <c r="E102" s="21">
        <v>1800</v>
      </c>
    </row>
    <row r="103" spans="1:5" x14ac:dyDescent="0.25">
      <c r="B103" s="5" t="s">
        <v>85</v>
      </c>
      <c r="C103" s="5" t="s">
        <v>82</v>
      </c>
      <c r="D103" s="5" t="s">
        <v>74</v>
      </c>
      <c r="E103" s="5">
        <v>650</v>
      </c>
    </row>
    <row r="104" spans="1:5" x14ac:dyDescent="0.25">
      <c r="B104" s="5" t="s">
        <v>86</v>
      </c>
      <c r="C104" s="5" t="s">
        <v>73</v>
      </c>
      <c r="D104" s="5" t="s">
        <v>74</v>
      </c>
      <c r="E104" s="21">
        <v>42000</v>
      </c>
    </row>
    <row r="105" spans="1:5" x14ac:dyDescent="0.25">
      <c r="B105" s="5" t="s">
        <v>87</v>
      </c>
      <c r="C105" s="5" t="s">
        <v>78</v>
      </c>
      <c r="D105" s="5" t="s">
        <v>80</v>
      </c>
      <c r="E105" s="21">
        <v>1200</v>
      </c>
    </row>
    <row r="107" spans="1:5" x14ac:dyDescent="0.25">
      <c r="A107" s="20"/>
      <c r="B107" s="20"/>
    </row>
    <row r="108" spans="1:5" ht="18" x14ac:dyDescent="0.25">
      <c r="A108" s="16"/>
      <c r="B108" s="8" t="s">
        <v>88</v>
      </c>
      <c r="E108" s="14" t="s">
        <v>96</v>
      </c>
    </row>
    <row r="109" spans="1:5" x14ac:dyDescent="0.25">
      <c r="A109" s="16"/>
      <c r="B109" s="3" t="s">
        <v>157</v>
      </c>
      <c r="E109" s="6"/>
    </row>
    <row r="110" spans="1:5" x14ac:dyDescent="0.25">
      <c r="A110" s="16"/>
      <c r="B110" s="3" t="s">
        <v>158</v>
      </c>
      <c r="E110" s="6"/>
    </row>
    <row r="111" spans="1:5" x14ac:dyDescent="0.25">
      <c r="A111" s="16"/>
      <c r="B111" s="3" t="s">
        <v>159</v>
      </c>
      <c r="E111" s="6"/>
    </row>
    <row r="112" spans="1:5" x14ac:dyDescent="0.25">
      <c r="A112" s="16"/>
      <c r="B112" s="3" t="s">
        <v>160</v>
      </c>
      <c r="E112" s="6"/>
    </row>
    <row r="113" spans="1:5" x14ac:dyDescent="0.25">
      <c r="A113" s="16"/>
      <c r="B113" s="3" t="s">
        <v>161</v>
      </c>
      <c r="E113" s="6"/>
    </row>
    <row r="114" spans="1:5" x14ac:dyDescent="0.25">
      <c r="A114" s="16"/>
      <c r="B114" s="3" t="s">
        <v>162</v>
      </c>
      <c r="E114" s="6"/>
    </row>
    <row r="115" spans="1:5" x14ac:dyDescent="0.25">
      <c r="B115" s="3" t="s">
        <v>163</v>
      </c>
      <c r="E115" s="6"/>
    </row>
    <row r="116" spans="1:5" x14ac:dyDescent="0.25">
      <c r="B116" s="3" t="s">
        <v>164</v>
      </c>
      <c r="E116" s="6"/>
    </row>
  </sheetData>
  <mergeCells count="11">
    <mergeCell ref="A92:P93"/>
    <mergeCell ref="A1:P2"/>
    <mergeCell ref="B16:E16"/>
    <mergeCell ref="B15:E15"/>
    <mergeCell ref="B14:E14"/>
    <mergeCell ref="A29:P30"/>
    <mergeCell ref="B42:D42"/>
    <mergeCell ref="B43:D43"/>
    <mergeCell ref="B44:D44"/>
    <mergeCell ref="B41:D41"/>
    <mergeCell ref="A59:P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Function </vt:lpstr>
      <vt:lpstr>Sum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2026-07-21T12:39:39Z</dcterms:created>
  <dcterms:modified xsi:type="dcterms:W3CDTF">2026-08-22T08:01:33Z</dcterms:modified>
</cp:coreProperties>
</file>