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p\Desktop\Excel\Excel Practical Files\"/>
    </mc:Choice>
  </mc:AlternateContent>
  <xr:revisionPtr revIDLastSave="0" documentId="13_ncr:1_{BDE57DFE-80D1-44DB-A966-B2869D083EB0}" xr6:coauthVersionLast="47" xr6:coauthVersionMax="47" xr10:uidLastSave="{00000000-0000-0000-0000-000000000000}"/>
  <bookViews>
    <workbookView xWindow="-120" yWindow="-120" windowWidth="20730" windowHeight="11160" activeTab="3" xr2:uid="{B4DB76C4-E7B4-4E6D-86A4-BC9F5A2CEBF8}"/>
  </bookViews>
  <sheets>
    <sheet name="IF Function" sheetId="1" r:id="rId1"/>
    <sheet name="Question" sheetId="2" r:id="rId2"/>
    <sheet name="Nested IF" sheetId="3" r:id="rId3"/>
    <sheet name="IFERROR"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7" i="4" l="1"/>
  <c r="E59" i="4"/>
  <c r="E60" i="4"/>
  <c r="E52" i="4"/>
  <c r="E53" i="4"/>
  <c r="G27" i="4" a="1"/>
  <c r="G26" i="4"/>
  <c r="G23" i="4"/>
  <c r="G22" i="4"/>
  <c r="D75" i="4"/>
  <c r="D78" i="4"/>
  <c r="D77" i="4"/>
  <c r="D76" i="4"/>
  <c r="D70" i="4"/>
  <c r="D69" i="4"/>
  <c r="D68" i="4"/>
  <c r="E58" i="4"/>
  <c r="E51" i="4"/>
  <c r="E44" i="4"/>
  <c r="E43" i="4"/>
  <c r="E42" i="4"/>
  <c r="E41" i="4"/>
  <c r="E36" i="4"/>
  <c r="E35" i="4"/>
  <c r="E34" i="4"/>
  <c r="E33" i="4"/>
  <c r="G2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<sst xmlns="http://schemas.openxmlformats.org/spreadsheetml/2006/main" count="337" uniqueCount="202">
  <si>
    <t>IF Function</t>
  </si>
  <si>
    <t>Definition : The IF Function is a logical function that checks whether a condition is TRUE or FALSE.</t>
  </si>
  <si>
    <t>Syntax : =IF(logical_test, value_if_true, value_if_false)</t>
  </si>
  <si>
    <t>Explanation of Arguments</t>
  </si>
  <si>
    <t>IF</t>
  </si>
  <si>
    <t>Argument</t>
  </si>
  <si>
    <t>Meaning</t>
  </si>
  <si>
    <t>logical_test</t>
  </si>
  <si>
    <t>The condition or expression to be tested.</t>
  </si>
  <si>
    <t>value_if_true</t>
  </si>
  <si>
    <t>The value returned when the condition is TRUE.</t>
  </si>
  <si>
    <t>value_if_false</t>
  </si>
  <si>
    <t>The value returned when the condition is FALSE.</t>
  </si>
  <si>
    <t>Advantages of IF Function</t>
  </si>
  <si>
    <t>Checks whether a condition is TRUE or FALSE.</t>
  </si>
  <si>
    <t>Returns different results based on the condition.</t>
  </si>
  <si>
    <t>Reduces manual decision-making.</t>
  </si>
  <si>
    <t>Makes worksheets more dynamic and automated.</t>
  </si>
  <si>
    <t>When to Use IF Function</t>
  </si>
  <si>
    <t>Display different results based on a condition.</t>
  </si>
  <si>
    <t>Classify data (Pass/Fail, Eligible/Not Eligible).</t>
  </si>
  <si>
    <t>Validate data based on rules.</t>
  </si>
  <si>
    <t>Automate decision-making in Excel.</t>
  </si>
  <si>
    <t>Important Points</t>
  </si>
  <si>
    <t>The IF function checks only one condition at a time.</t>
  </si>
  <si>
    <r>
      <t xml:space="preserve">Text values must be enclosed in double quotes (e.g., </t>
    </r>
    <r>
      <rPr>
        <sz val="10"/>
        <color theme="1"/>
        <rFont val="Arial Unicode MS"/>
        <family val="2"/>
      </rPr>
      <t>"Pass"</t>
    </r>
    <r>
      <rPr>
        <sz val="11"/>
        <color theme="1"/>
        <rFont val="Aptos Narrow"/>
        <family val="2"/>
        <scheme val="minor"/>
      </rPr>
      <t>).</t>
    </r>
  </si>
  <si>
    <t>Numbers should not be enclosed in double quotes.</t>
  </si>
  <si>
    <t>IF can be nested or combined with logical functions.</t>
  </si>
  <si>
    <t>It can be combined with functions like AND, OR, NOT, and IFERROR</t>
  </si>
  <si>
    <t>Comparison Operators</t>
  </si>
  <si>
    <t>Definition : Comparison operators are symbols used to compare two values. They return either TRUE or FALSE.</t>
  </si>
  <si>
    <t>Operator</t>
  </si>
  <si>
    <t>Example</t>
  </si>
  <si>
    <t>=</t>
  </si>
  <si>
    <t>Equal To</t>
  </si>
  <si>
    <t>10=10</t>
  </si>
  <si>
    <t>&gt;</t>
  </si>
  <si>
    <t>Greater Than</t>
  </si>
  <si>
    <t>20&gt;15</t>
  </si>
  <si>
    <t>&lt;</t>
  </si>
  <si>
    <t>Less Than</t>
  </si>
  <si>
    <t>10&lt;8</t>
  </si>
  <si>
    <t>&gt;=</t>
  </si>
  <si>
    <t>Greater Than or Equal To</t>
  </si>
  <si>
    <t>50&gt;=50</t>
  </si>
  <si>
    <t>&lt;=</t>
  </si>
  <si>
    <t>Less Than or Equal To</t>
  </si>
  <si>
    <t>30&lt;=25</t>
  </si>
  <si>
    <t>&lt;&gt;</t>
  </si>
  <si>
    <t>Not Equal To</t>
  </si>
  <si>
    <t>100&lt;&gt;90</t>
  </si>
  <si>
    <t>Common Comparison Operators</t>
  </si>
  <si>
    <t>Number1</t>
  </si>
  <si>
    <t>Number2</t>
  </si>
  <si>
    <t>Result</t>
  </si>
  <si>
    <r>
      <t xml:space="preserve">Scenario : </t>
    </r>
    <r>
      <rPr>
        <sz val="14"/>
        <color theme="1"/>
        <rFont val="Aptos Narrow"/>
        <family val="2"/>
        <scheme val="minor"/>
      </rPr>
      <t>The company offers a Sales Bonus to employees based on their monthly sales performance.</t>
    </r>
  </si>
  <si>
    <r>
      <t>Task:</t>
    </r>
    <r>
      <rPr>
        <sz val="14"/>
        <color theme="1"/>
        <rFont val="Aptos Narrow"/>
        <family val="2"/>
        <scheme val="minor"/>
      </rPr>
      <t xml:space="preserve">  Display </t>
    </r>
    <r>
      <rPr>
        <b/>
        <sz val="14"/>
        <color theme="1"/>
        <rFont val="Aptos Narrow"/>
        <family val="2"/>
        <scheme val="minor"/>
      </rPr>
      <t>"Eligible"</t>
    </r>
    <r>
      <rPr>
        <sz val="14"/>
        <color theme="1"/>
        <rFont val="Aptos Narrow"/>
        <family val="2"/>
        <scheme val="minor"/>
      </rPr>
      <t xml:space="preserve"> if the Sales are </t>
    </r>
    <r>
      <rPr>
        <b/>
        <sz val="14"/>
        <color theme="1"/>
        <rFont val="Aptos Narrow"/>
        <family val="2"/>
        <scheme val="minor"/>
      </rPr>
      <t xml:space="preserve">greater than or equal to ₹50,000 , </t>
    </r>
    <r>
      <rPr>
        <sz val="14"/>
        <color theme="1"/>
        <rFont val="Aptos Narrow"/>
        <family val="2"/>
        <scheme val="minor"/>
      </rPr>
      <t xml:space="preserve">otherwise display </t>
    </r>
    <r>
      <rPr>
        <b/>
        <sz val="14"/>
        <color theme="1"/>
        <rFont val="Aptos Narrow"/>
        <family val="2"/>
        <scheme val="minor"/>
      </rPr>
      <t>"Not Eligible"</t>
    </r>
    <r>
      <rPr>
        <sz val="14"/>
        <color theme="1"/>
        <rFont val="Aptos Narrow"/>
        <family val="2"/>
        <scheme val="minor"/>
      </rPr>
      <t>.</t>
    </r>
  </si>
  <si>
    <t>Employee ID</t>
  </si>
  <si>
    <t>Employee Name</t>
  </si>
  <si>
    <t>Sales (₹)</t>
  </si>
  <si>
    <t>EMP101</t>
  </si>
  <si>
    <t>Rahul</t>
  </si>
  <si>
    <t>EMP102</t>
  </si>
  <si>
    <t>Priya</t>
  </si>
  <si>
    <t>EMP103</t>
  </si>
  <si>
    <t>Aman</t>
  </si>
  <si>
    <t>EMP104</t>
  </si>
  <si>
    <t>Neha</t>
  </si>
  <si>
    <t>EMP105</t>
  </si>
  <si>
    <t>Ravi</t>
  </si>
  <si>
    <t>EMP106</t>
  </si>
  <si>
    <t>Simran</t>
  </si>
  <si>
    <t>EMP107</t>
  </si>
  <si>
    <t>Karan</t>
  </si>
  <si>
    <t>EMP108</t>
  </si>
  <si>
    <t>Meera</t>
  </si>
  <si>
    <t>EMP109</t>
  </si>
  <si>
    <t>Arjun</t>
  </si>
  <si>
    <t>EMP110</t>
  </si>
  <si>
    <t>Pooja</t>
  </si>
  <si>
    <r>
      <t>If a student scores 40 or more marks</t>
    </r>
    <r>
      <rPr>
        <sz val="14"/>
        <color theme="1"/>
        <rFont val="Aptos Narrow"/>
        <family val="2"/>
        <scheme val="minor"/>
      </rPr>
      <t xml:space="preserve">, display </t>
    </r>
    <r>
      <rPr>
        <b/>
        <sz val="14"/>
        <color theme="1"/>
        <rFont val="Aptos Narrow"/>
        <family val="2"/>
        <scheme val="minor"/>
      </rPr>
      <t>"Pass"</t>
    </r>
    <r>
      <rPr>
        <sz val="14"/>
        <color theme="1"/>
        <rFont val="Aptos Narrow"/>
        <family val="2"/>
        <scheme val="minor"/>
      </rPr>
      <t xml:space="preserve">; otherwise display </t>
    </r>
    <r>
      <rPr>
        <b/>
        <sz val="14"/>
        <color theme="1"/>
        <rFont val="Aptos Narrow"/>
        <family val="2"/>
        <scheme val="minor"/>
      </rPr>
      <t>"Fail"</t>
    </r>
    <r>
      <rPr>
        <sz val="14"/>
        <color theme="1"/>
        <rFont val="Aptos Narrow"/>
        <family val="2"/>
        <scheme val="minor"/>
      </rPr>
      <t>.</t>
    </r>
  </si>
  <si>
    <t>Student</t>
  </si>
  <si>
    <t>Marks</t>
  </si>
  <si>
    <t>Nested IF Function</t>
  </si>
  <si>
    <t>Definition : Nested IF is an IF function placed inside another IF function to evaluate multiple conditions and return different results based on those conditions.</t>
  </si>
  <si>
    <t xml:space="preserve"> IF(condition2, value_if_true,</t>
  </si>
  <si>
    <t xml:space="preserve">  IF(condition3, value_if_true ,value_if_false)))</t>
  </si>
  <si>
    <t>Syntax :  =IF(condition1, value_if_true,</t>
  </si>
  <si>
    <t>Example 1: Student Result (Pass / Fail / Distinction)</t>
  </si>
  <si>
    <t>Grade</t>
  </si>
  <si>
    <t>90 and Above</t>
  </si>
  <si>
    <t>A</t>
  </si>
  <si>
    <t>75 – 89</t>
  </si>
  <si>
    <t>B</t>
  </si>
  <si>
    <t>60 – 74</t>
  </si>
  <si>
    <t>C</t>
  </si>
  <si>
    <t>40 – 59</t>
  </si>
  <si>
    <t>D</t>
  </si>
  <si>
    <t>Below 40</t>
  </si>
  <si>
    <t>Fail</t>
  </si>
  <si>
    <t>Scenario: A school wants to categorize students based on their marks.</t>
  </si>
  <si>
    <t>Student ID</t>
  </si>
  <si>
    <t>Student Name</t>
  </si>
  <si>
    <t>ST101</t>
  </si>
  <si>
    <t>ST102</t>
  </si>
  <si>
    <t>ST103</t>
  </si>
  <si>
    <t>ST104</t>
  </si>
  <si>
    <t>ST105</t>
  </si>
  <si>
    <t>ST106</t>
  </si>
  <si>
    <t>ST107</t>
  </si>
  <si>
    <t>ST108</t>
  </si>
  <si>
    <t>ST109</t>
  </si>
  <si>
    <t>ST110</t>
  </si>
  <si>
    <t>Example 2: Employee Performance Rating</t>
  </si>
  <si>
    <t>Distinction</t>
  </si>
  <si>
    <t>&gt;40</t>
  </si>
  <si>
    <t>Pass</t>
  </si>
  <si>
    <t>&lt;40</t>
  </si>
  <si>
    <t>Employee</t>
  </si>
  <si>
    <t>Rating</t>
  </si>
  <si>
    <t>Performance Rating Criteria</t>
  </si>
  <si>
    <t>90,000 and Above</t>
  </si>
  <si>
    <t>Excellent</t>
  </si>
  <si>
    <t>75,000 – 89,999</t>
  </si>
  <si>
    <t>Very Good</t>
  </si>
  <si>
    <t>60,000 – 74,999</t>
  </si>
  <si>
    <t>Good</t>
  </si>
  <si>
    <t>45,000 – 59,999</t>
  </si>
  <si>
    <t>Average</t>
  </si>
  <si>
    <t>Below 45,000</t>
  </si>
  <si>
    <t>Needs Improvement</t>
  </si>
  <si>
    <t>Example 3:Product Discount</t>
  </si>
  <si>
    <t>Product Discount</t>
  </si>
  <si>
    <t>Purchase Amount (₹)</t>
  </si>
  <si>
    <t>Discount</t>
  </si>
  <si>
    <t>80,000 and Above</t>
  </si>
  <si>
    <t>50,000 – 79,999</t>
  </si>
  <si>
    <t>20,000 – 49,999</t>
  </si>
  <si>
    <t>Below 20,000</t>
  </si>
  <si>
    <t>No Discount</t>
  </si>
  <si>
    <t>Customer</t>
  </si>
  <si>
    <t>Total Purchase (₹)</t>
  </si>
  <si>
    <t>Membership</t>
  </si>
  <si>
    <t>Example 4:Customer Membership</t>
  </si>
  <si>
    <t>1,00,000 and Above</t>
  </si>
  <si>
    <t>Platinum</t>
  </si>
  <si>
    <t>75,000 – 99,999</t>
  </si>
  <si>
    <t>Gold</t>
  </si>
  <si>
    <t>50,000 – 74,999</t>
  </si>
  <si>
    <t>Silver</t>
  </si>
  <si>
    <t>Below 50,000</t>
  </si>
  <si>
    <t>Bronze</t>
  </si>
  <si>
    <t>Membership Criteria</t>
  </si>
  <si>
    <t>IFERROR</t>
  </si>
  <si>
    <t>IFERROR Function : The IFERROR Function checks whether a formula returns an error.</t>
  </si>
  <si>
    <t>If there is no error → Excel shows the original result.</t>
  </si>
  <si>
    <t>If there is an error → Excel shows a custom message or value.</t>
  </si>
  <si>
    <t>Why Do We Use IFERROR?</t>
  </si>
  <si>
    <t xml:space="preserve">Sometimes formulas return errors like : #DIV/0! , #N/A , #VALUE! , #NAME? , #REF! </t>
  </si>
  <si>
    <t>These errors make reports look unprofessional.</t>
  </si>
  <si>
    <t>IFERROR replaces them with meaningful output.</t>
  </si>
  <si>
    <t>Error</t>
  </si>
  <si>
    <t>Dividing by zero</t>
  </si>
  <si>
    <t>Value not available</t>
  </si>
  <si>
    <t>Wrong data type</t>
  </si>
  <si>
    <t>Invalid cell reference</t>
  </si>
  <si>
    <t>Incorrect function or range name</t>
  </si>
  <si>
    <t>Invalid numeric value</t>
  </si>
  <si>
    <t>Incorrect range intersection</t>
  </si>
  <si>
    <t>Value1</t>
  </si>
  <si>
    <t>Value2</t>
  </si>
  <si>
    <t>(No value required)</t>
  </si>
  <si>
    <r>
      <t>A8+B8</t>
    </r>
    <r>
      <rPr>
        <sz val="11"/>
        <color theme="1"/>
        <rFont val="Aptos Narrow"/>
        <family val="2"/>
        <scheme val="minor"/>
      </rPr>
      <t xml:space="preserve"> </t>
    </r>
    <r>
      <rPr>
        <i/>
        <sz val="11"/>
        <color theme="1"/>
        <rFont val="Aptos Narrow"/>
        <family val="2"/>
        <scheme val="minor"/>
      </rPr>
      <t>(then delete column B)</t>
    </r>
  </si>
  <si>
    <t>Syntax :  =IFERROR(value, value_if_error)</t>
  </si>
  <si>
    <t>value</t>
  </si>
  <si>
    <t>Formula to evaluate</t>
  </si>
  <si>
    <t>value_if_error</t>
  </si>
  <si>
    <t>Value displayed if an error occurs</t>
  </si>
  <si>
    <t>Product</t>
  </si>
  <si>
    <t>Total Sales (₹)</t>
  </si>
  <si>
    <t>Quantity Sold</t>
  </si>
  <si>
    <t>Sales Per Unit</t>
  </si>
  <si>
    <t>Hint : Total Sales / Quantity Sold</t>
  </si>
  <si>
    <t>Laptop</t>
  </si>
  <si>
    <t>Mouse</t>
  </si>
  <si>
    <t>Keyboard</t>
  </si>
  <si>
    <t>Monitor</t>
  </si>
  <si>
    <t>With IFERROR</t>
  </si>
  <si>
    <r>
      <t>Question:</t>
    </r>
    <r>
      <rPr>
        <sz val="13.5"/>
        <color theme="1"/>
        <rFont val="Aptos Narrow"/>
        <family val="2"/>
        <scheme val="minor"/>
      </rPr>
      <t xml:space="preserve"> A store has recorded the Quantity and Unit Price of different products. Calculate the Total Amount for each product. If the quantity or price contains invalid data, display "Invalid Input" instead of an error</t>
    </r>
  </si>
  <si>
    <t>Formula (Without IFERROR):</t>
  </si>
  <si>
    <t>Quantity</t>
  </si>
  <si>
    <t>Unit Price</t>
  </si>
  <si>
    <t>Total</t>
  </si>
  <si>
    <r>
      <t>Hint:</t>
    </r>
    <r>
      <rPr>
        <sz val="11"/>
        <color theme="1"/>
        <rFont val="Aptos Narrow"/>
        <family val="2"/>
        <scheme val="minor"/>
      </rPr>
      <t xml:space="preserve"> </t>
    </r>
    <r>
      <rPr>
        <b/>
        <sz val="11"/>
        <color theme="1"/>
        <rFont val="Aptos Narrow"/>
        <family val="2"/>
        <scheme val="minor"/>
      </rPr>
      <t>Quantity × Unit Price</t>
    </r>
  </si>
  <si>
    <t>Formula (With IFERROR):</t>
  </si>
  <si>
    <r>
      <t>Question</t>
    </r>
    <r>
      <rPr>
        <sz val="13.5"/>
        <color theme="1"/>
        <rFont val="Aptos Narrow"/>
        <family val="2"/>
        <scheme val="minor"/>
      </rPr>
      <t>: A company gives a 10% bonus to employees whose sales are ₹50,000 or more. If the sales are less than ₹50,000, display "No Bonus". If the sales value is invalid, display "Invalid Sales" instead of an error.</t>
    </r>
  </si>
  <si>
    <t>Sales</t>
  </si>
  <si>
    <t>Bonus</t>
  </si>
  <si>
    <t>Hint: Check Sales amount and calculate 10% Bonus if Sales ≥ 50,000.</t>
  </si>
  <si>
    <t>N/A</t>
  </si>
  <si>
    <t xml:space="preserve">EXAMPLE </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</si>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</sst>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b/>
      <sz val="20"/>
      <color theme="0"/>
      <name val="Aptos Narrow"/>
      <family val="2"/>
      <scheme val="minor"/>
    </font>
    <font>
      <b/>
      <sz val="12"/>
      <color theme="1"/>
      <name val="Aptos Narrow"/>
      <family val="2"/>
      <scheme val="minor"/>
    </font>
    <font>
      <b/>
      <sz val="13.5"/>
      <color theme="1"/>
      <name val="Aptos Narrow"/>
      <family val="2"/>
      <scheme val="minor"/>
    </font>
    <font>
      <sz val="10"/>
      <color theme="1"/>
      <name val="Arial Unicode MS"/>
      <family val="2"/>
    </font>
    <font>
      <sz val="12"/>
      <color theme="1"/>
      <name val="Aptos Narrow"/>
      <family val="2"/>
      <scheme val="minor"/>
    </font>
    <font>
      <b/>
      <sz val="16"/>
      <color theme="1"/>
      <name val="Aptos Narrow"/>
      <family val="2"/>
      <scheme val="minor"/>
    </font>
    <font>
      <b/>
      <sz val="14"/>
      <color theme="0"/>
      <name val="Aptos Narrow"/>
      <family val="2"/>
      <scheme val="minor"/>
    </font>
    <font>
      <sz val="14"/>
      <color theme="1"/>
      <name val="Aptos Narrow"/>
      <family val="2"/>
      <scheme val="minor"/>
    </font>
    <font>
      <b/>
      <sz val="14"/>
      <color theme="1"/>
      <name val="Aptos Narrow"/>
      <family val="2"/>
      <scheme val="minor"/>
    </font>
    <font>
      <i/>
      <sz val="11"/>
      <color theme="1"/>
      <name val="Aptos Narrow"/>
      <family val="2"/>
      <scheme val="minor"/>
    </font>
    <font>
      <b/>
      <sz val="18"/>
      <color theme="0"/>
      <name val="Aptos Narrow"/>
      <family val="2"/>
      <scheme val="minor"/>
    </font>
    <font>
      <sz val="13.5"/>
      <color theme="1"/>
      <name val="Aptos Narrow"/>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7"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1" fillId="0" borderId="1" xfId="0" applyFont="1" applyBorder="1"/>
    <xf numFmtId="0" fontId="4" fillId="0" borderId="0" xfId="0" applyFont="1" applyAlignment="1">
      <alignment vertical="center"/>
    </xf>
    <xf numFmtId="0" fontId="1" fillId="0" borderId="1" xfId="0" applyFont="1" applyBorder="1" applyAlignment="1">
      <alignment vertical="center" wrapText="1"/>
    </xf>
    <xf numFmtId="0" fontId="0" fillId="0" borderId="1" xfId="0" applyBorder="1"/>
    <xf numFmtId="0" fontId="0" fillId="0" borderId="1" xfId="0" applyBorder="1" applyAlignment="1">
      <alignment horizontal="left"/>
    </xf>
    <xf numFmtId="0" fontId="0" fillId="0" borderId="0" xfId="0" applyAlignment="1">
      <alignment horizontal="left"/>
    </xf>
    <xf numFmtId="0" fontId="0" fillId="0" borderId="0" xfId="0" applyAlignment="1">
      <alignment horizontal="center"/>
    </xf>
    <xf numFmtId="0" fontId="0" fillId="0" borderId="1" xfId="0" applyBorder="1" applyAlignment="1">
      <alignment horizontal="center"/>
    </xf>
    <xf numFmtId="0" fontId="2" fillId="2" borderId="0" xfId="0" applyFont="1" applyFill="1"/>
    <xf numFmtId="0" fontId="7" fillId="0" borderId="1" xfId="0" applyFont="1" applyBorder="1"/>
    <xf numFmtId="0" fontId="7" fillId="0" borderId="0" xfId="0" applyFont="1"/>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8" fillId="3" borderId="1" xfId="0" applyFont="1" applyFill="1" applyBorder="1" applyAlignment="1">
      <alignment horizontal="center" vertical="center" wrapText="1"/>
    </xf>
    <xf numFmtId="0" fontId="9" fillId="0" borderId="0" xfId="0" applyFont="1"/>
    <xf numFmtId="0" fontId="0" fillId="0" borderId="1" xfId="0" applyBorder="1" applyAlignment="1">
      <alignment vertical="center" wrapText="1"/>
    </xf>
    <xf numFmtId="0" fontId="6" fillId="0" borderId="1" xfId="0" applyFont="1" applyBorder="1"/>
    <xf numFmtId="0" fontId="1" fillId="0" borderId="0" xfId="0" applyFont="1"/>
    <xf numFmtId="0" fontId="10" fillId="0" borderId="0" xfId="0" applyFont="1"/>
    <xf numFmtId="3" fontId="0" fillId="0" borderId="1" xfId="0" applyNumberFormat="1" applyBorder="1" applyAlignment="1">
      <alignment horizontal="center" vertical="center" wrapText="1"/>
    </xf>
    <xf numFmtId="0" fontId="9" fillId="0" borderId="0" xfId="0" applyFont="1" applyAlignment="1">
      <alignment horizontal="left"/>
    </xf>
    <xf numFmtId="9" fontId="0" fillId="0" borderId="1" xfId="0" applyNumberFormat="1" applyBorder="1" applyAlignment="1">
      <alignment horizontal="center" vertical="center" wrapText="1"/>
    </xf>
    <xf numFmtId="0" fontId="11" fillId="0" borderId="1" xfId="0" applyFont="1" applyBorder="1" applyAlignment="1">
      <alignment horizontal="center" vertical="center" wrapText="1"/>
    </xf>
    <xf numFmtId="0" fontId="3" fillId="0" borderId="0" xfId="0" applyFont="1" applyAlignment="1">
      <alignment vertical="center"/>
    </xf>
    <xf numFmtId="0" fontId="5" fillId="0" borderId="1" xfId="0" applyFont="1" applyBorder="1" applyAlignment="1">
      <alignment horizontal="center"/>
    </xf>
    <xf numFmtId="0" fontId="1" fillId="0" borderId="1" xfId="0" applyFont="1" applyBorder="1" applyAlignment="1">
      <alignment horizontal="right" vertical="center" wrapText="1"/>
    </xf>
    <xf numFmtId="0" fontId="0" fillId="0" borderId="1" xfId="0" applyBorder="1" applyAlignment="1">
      <alignment horizontal="right" vertical="center" wrapText="1"/>
    </xf>
    <xf numFmtId="0" fontId="1" fillId="0" borderId="0" xfId="0" applyFont="1" applyAlignment="1">
      <alignment horizontal="center"/>
    </xf>
    <xf numFmtId="0" fontId="12" fillId="2" borderId="0" xfId="0" applyFont="1" applyFill="1" applyAlignment="1">
      <alignment horizontal="center"/>
    </xf>
    <xf numFmtId="0" fontId="2" fillId="2" borderId="0" xfId="0" applyFont="1" applyFill="1" applyAlignment="1">
      <alignment horizontal="center"/>
    </xf>
    <xf numFmtId="0" fontId="0" fillId="0" borderId="1" xfId="0" applyBorder="1" applyAlignment="1">
      <alignment horizontal="left"/>
    </xf>
    <xf numFmtId="0" fontId="1" fillId="0" borderId="1" xfId="0" applyFont="1" applyBorder="1" applyAlignment="1">
      <alignment horizontal="center" vertical="center" wrapText="1"/>
    </xf>
    <xf numFmtId="0" fontId="1" fillId="0" borderId="1" xfId="0" applyFont="1" applyBorder="1" applyAlignment="1">
      <alignment horizontal="center"/>
    </xf>
    <xf numFmtId="0" fontId="10" fillId="0" borderId="0" xfId="0" applyFont="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0" borderId="2" xfId="0" applyFont="1" applyBorder="1" applyAlignment="1">
      <alignment horizontal="left"/>
    </xf>
    <xf numFmtId="0" fontId="6" fillId="0" borderId="3" xfId="0" applyFont="1" applyBorder="1" applyAlignment="1">
      <alignment horizontal="left"/>
    </xf>
    <xf numFmtId="0" fontId="6" fillId="0" borderId="4" xfId="0" applyFont="1" applyBorder="1" applyAlignment="1">
      <alignment horizontal="left"/>
    </xf>
    <xf numFmtId="0" fontId="0" fillId="0" borderId="1" xfId="0"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F337-DAE0-460A-8220-53C523DC316A}">
  <dimension ref="A1:R43"/>
  <sheetViews>
    <sheetView zoomScaleNormal="100" workbookViewId="0">
      <selection activeCell="H9" sqref="H9"/>
    </sheetView>
  </sheetViews>
  <sheetFormatPr defaultRowHeight="15" x14ac:dyDescent="0.25"/>
  <cols>
    <col min="1" max="1" width="16" customWidth="1"/>
    <col min="3" max="3" width="12" customWidth="1"/>
    <col min="4" max="4" width="8.85546875" customWidth="1"/>
    <col min="5" max="5" width="18.7109375" customWidth="1"/>
    <col min="6" max="6" width="27.140625" customWidth="1"/>
    <col min="7" max="7" width="19" customWidth="1"/>
    <col min="8" max="8" width="14.85546875" customWidth="1"/>
    <col min="9" max="9" width="14" customWidth="1"/>
    <col min="10" max="10" width="12.5703125" customWidth="1"/>
    <col min="11" max="11" width="12.7109375" customWidth="1"/>
    <col min="12" max="12" width="16.5703125" customWidth="1"/>
    <col min="13" max="13" width="39" customWidth="1"/>
    <col min="18" max="18" width="15.140625" customWidth="1"/>
    <col min="20" max="20" width="13.140625" customWidth="1"/>
  </cols>
  <sheetData>
    <row r="1" spans="1:18" ht="15" customHeight="1" x14ac:dyDescent="0.4">
      <c r="A1" s="31" t="s">
        <v>0</v>
      </c>
      <c r="B1" s="31"/>
      <c r="C1" s="31"/>
      <c r="D1" s="31"/>
      <c r="E1" s="31"/>
      <c r="F1" s="31"/>
      <c r="G1" s="31"/>
      <c r="H1" s="31"/>
      <c r="I1" s="31"/>
      <c r="J1" s="31"/>
      <c r="K1" s="31"/>
      <c r="L1" s="31"/>
      <c r="M1" s="9"/>
      <c r="N1" s="9"/>
      <c r="O1" s="9"/>
      <c r="P1" s="9"/>
      <c r="Q1" s="9"/>
      <c r="R1" s="9"/>
    </row>
    <row r="2" spans="1:18" ht="15" customHeight="1" x14ac:dyDescent="0.4">
      <c r="A2" s="31"/>
      <c r="B2" s="31"/>
      <c r="C2" s="31"/>
      <c r="D2" s="31"/>
      <c r="E2" s="31"/>
      <c r="F2" s="31"/>
      <c r="G2" s="31"/>
      <c r="H2" s="31"/>
      <c r="I2" s="31"/>
      <c r="J2" s="31"/>
      <c r="K2" s="31"/>
      <c r="L2" s="31"/>
      <c r="M2" s="9"/>
      <c r="N2" s="9"/>
      <c r="O2" s="9"/>
      <c r="P2" s="9"/>
      <c r="Q2" s="9"/>
      <c r="R2" s="9"/>
    </row>
    <row r="4" spans="1:18" ht="21" x14ac:dyDescent="0.35">
      <c r="A4" s="11" t="s">
        <v>1</v>
      </c>
    </row>
    <row r="6" spans="1:18" ht="21" x14ac:dyDescent="0.35">
      <c r="A6" s="10" t="s">
        <v>2</v>
      </c>
      <c r="B6" s="1"/>
      <c r="C6" s="1"/>
      <c r="D6" s="1"/>
      <c r="E6" s="1"/>
      <c r="F6" s="4"/>
      <c r="G6" s="4"/>
    </row>
    <row r="8" spans="1:18" ht="18" x14ac:dyDescent="0.25">
      <c r="A8" s="2" t="s">
        <v>3</v>
      </c>
    </row>
    <row r="10" spans="1:18" x14ac:dyDescent="0.25">
      <c r="A10" s="46" t="s">
        <v>4</v>
      </c>
      <c r="B10" s="47"/>
      <c r="C10" s="47"/>
      <c r="D10" s="47"/>
      <c r="E10" s="47"/>
      <c r="F10" s="48"/>
    </row>
    <row r="11" spans="1:18" x14ac:dyDescent="0.25">
      <c r="A11" s="12" t="s">
        <v>5</v>
      </c>
      <c r="B11" s="49" t="s">
        <v>6</v>
      </c>
      <c r="C11" s="50"/>
      <c r="D11" s="50"/>
      <c r="E11" s="50"/>
      <c r="F11" s="51"/>
    </row>
    <row r="12" spans="1:18" x14ac:dyDescent="0.25">
      <c r="A12" s="5" t="s">
        <v>7</v>
      </c>
      <c r="B12" s="36" t="s">
        <v>8</v>
      </c>
      <c r="C12" s="37"/>
      <c r="D12" s="37"/>
      <c r="E12" s="37"/>
      <c r="F12" s="38"/>
    </row>
    <row r="13" spans="1:18" x14ac:dyDescent="0.25">
      <c r="A13" s="5" t="s">
        <v>9</v>
      </c>
      <c r="B13" s="36" t="s">
        <v>10</v>
      </c>
      <c r="C13" s="37"/>
      <c r="D13" s="37"/>
      <c r="E13" s="37"/>
      <c r="F13" s="38"/>
    </row>
    <row r="14" spans="1:18" x14ac:dyDescent="0.25">
      <c r="A14" s="5" t="s">
        <v>11</v>
      </c>
      <c r="B14" s="36" t="s">
        <v>12</v>
      </c>
      <c r="C14" s="37"/>
      <c r="D14" s="37"/>
      <c r="E14" s="37"/>
      <c r="F14" s="38"/>
    </row>
    <row r="15" spans="1:18" x14ac:dyDescent="0.25">
      <c r="A15" s="6"/>
      <c r="B15" s="6"/>
      <c r="C15" s="6"/>
      <c r="D15" s="6"/>
      <c r="E15" s="6"/>
      <c r="F15" s="6"/>
    </row>
    <row r="17" spans="1:18" ht="15.75" x14ac:dyDescent="0.25">
      <c r="A17" s="43" t="s">
        <v>13</v>
      </c>
      <c r="B17" s="44"/>
      <c r="C17" s="44"/>
      <c r="D17" s="44"/>
      <c r="E17" s="45"/>
      <c r="F17" s="43" t="s">
        <v>18</v>
      </c>
      <c r="G17" s="45"/>
      <c r="H17" s="43" t="s">
        <v>23</v>
      </c>
      <c r="I17" s="44"/>
      <c r="J17" s="44"/>
      <c r="K17" s="45"/>
    </row>
    <row r="18" spans="1:18" x14ac:dyDescent="0.25">
      <c r="A18" s="36" t="s">
        <v>14</v>
      </c>
      <c r="B18" s="37"/>
      <c r="C18" s="37"/>
      <c r="D18" s="37"/>
      <c r="E18" s="38"/>
      <c r="F18" s="36" t="s">
        <v>19</v>
      </c>
      <c r="G18" s="38"/>
      <c r="H18" s="36" t="s">
        <v>24</v>
      </c>
      <c r="I18" s="37"/>
      <c r="J18" s="37"/>
      <c r="K18" s="38"/>
    </row>
    <row r="19" spans="1:18" ht="16.5" x14ac:dyDescent="0.3">
      <c r="A19" s="39" t="s">
        <v>15</v>
      </c>
      <c r="B19" s="40"/>
      <c r="C19" s="40"/>
      <c r="D19" s="40"/>
      <c r="E19" s="41"/>
      <c r="F19" s="39" t="s">
        <v>20</v>
      </c>
      <c r="G19" s="41"/>
      <c r="H19" s="36" t="s">
        <v>25</v>
      </c>
      <c r="I19" s="37"/>
      <c r="J19" s="37"/>
      <c r="K19" s="38"/>
    </row>
    <row r="20" spans="1:18" x14ac:dyDescent="0.25">
      <c r="A20" s="36" t="s">
        <v>16</v>
      </c>
      <c r="B20" s="37"/>
      <c r="C20" s="37"/>
      <c r="D20" s="37"/>
      <c r="E20" s="38"/>
      <c r="F20" s="36" t="s">
        <v>21</v>
      </c>
      <c r="G20" s="38"/>
      <c r="H20" s="4" t="s">
        <v>26</v>
      </c>
      <c r="I20" s="4"/>
      <c r="J20" s="4"/>
      <c r="K20" s="4"/>
    </row>
    <row r="21" spans="1:18" ht="15.75" x14ac:dyDescent="0.25">
      <c r="A21" s="36" t="s">
        <v>17</v>
      </c>
      <c r="B21" s="37"/>
      <c r="C21" s="37"/>
      <c r="D21" s="37"/>
      <c r="E21" s="38"/>
      <c r="F21" s="39" t="s">
        <v>22</v>
      </c>
      <c r="G21" s="41"/>
      <c r="H21" s="18" t="s">
        <v>27</v>
      </c>
      <c r="I21" s="18"/>
      <c r="J21" s="18"/>
      <c r="K21" s="18"/>
    </row>
    <row r="22" spans="1:18" ht="15.75" x14ac:dyDescent="0.25">
      <c r="A22" s="39" t="s">
        <v>28</v>
      </c>
      <c r="B22" s="40"/>
      <c r="C22" s="40"/>
      <c r="D22" s="40"/>
      <c r="E22" s="41"/>
      <c r="F22" s="36"/>
      <c r="G22" s="37"/>
      <c r="H22" s="42"/>
      <c r="I22" s="42"/>
      <c r="J22" s="42"/>
      <c r="K22" s="42"/>
    </row>
    <row r="24" spans="1:18" ht="15" customHeight="1" x14ac:dyDescent="0.4">
      <c r="A24" s="31" t="s">
        <v>29</v>
      </c>
      <c r="B24" s="31"/>
      <c r="C24" s="31"/>
      <c r="D24" s="31"/>
      <c r="E24" s="31"/>
      <c r="F24" s="31"/>
      <c r="G24" s="31"/>
      <c r="H24" s="31"/>
      <c r="I24" s="31"/>
      <c r="J24" s="31"/>
      <c r="K24" s="31"/>
      <c r="L24" s="31"/>
      <c r="M24" s="9"/>
      <c r="N24" s="9"/>
      <c r="O24" s="9"/>
      <c r="P24" s="9"/>
      <c r="Q24" s="9"/>
      <c r="R24" s="9"/>
    </row>
    <row r="25" spans="1:18" ht="15" customHeight="1" x14ac:dyDescent="0.4">
      <c r="A25" s="31"/>
      <c r="B25" s="31"/>
      <c r="C25" s="31"/>
      <c r="D25" s="31"/>
      <c r="E25" s="31"/>
      <c r="F25" s="31"/>
      <c r="G25" s="31"/>
      <c r="H25" s="31"/>
      <c r="I25" s="31"/>
      <c r="J25" s="31"/>
      <c r="K25" s="31"/>
      <c r="L25" s="31"/>
      <c r="M25" s="9"/>
      <c r="N25" s="9"/>
      <c r="O25" s="9"/>
      <c r="P25" s="9"/>
      <c r="Q25" s="9"/>
      <c r="R25" s="9"/>
    </row>
    <row r="27" spans="1:18" ht="21" x14ac:dyDescent="0.35">
      <c r="A27" s="11" t="s">
        <v>30</v>
      </c>
    </row>
    <row r="29" spans="1:18" ht="19.5" customHeight="1" x14ac:dyDescent="0.25">
      <c r="A29" s="35" t="s">
        <v>51</v>
      </c>
      <c r="B29" s="35"/>
      <c r="C29" s="35"/>
      <c r="E29" s="15" t="s">
        <v>31</v>
      </c>
      <c r="F29" s="15" t="s">
        <v>6</v>
      </c>
      <c r="G29" s="15" t="s">
        <v>32</v>
      </c>
    </row>
    <row r="30" spans="1:18" ht="15" customHeight="1" x14ac:dyDescent="0.25">
      <c r="E30" s="13" t="s">
        <v>33</v>
      </c>
      <c r="F30" s="14" t="s">
        <v>34</v>
      </c>
      <c r="G30" s="13" t="s">
        <v>35</v>
      </c>
    </row>
    <row r="31" spans="1:18" x14ac:dyDescent="0.25">
      <c r="E31" s="13" t="s">
        <v>36</v>
      </c>
      <c r="F31" s="14" t="s">
        <v>37</v>
      </c>
      <c r="G31" s="13" t="s">
        <v>38</v>
      </c>
    </row>
    <row r="32" spans="1:18" x14ac:dyDescent="0.25">
      <c r="E32" s="13" t="s">
        <v>39</v>
      </c>
      <c r="F32" s="14" t="s">
        <v>40</v>
      </c>
      <c r="G32" s="13" t="s">
        <v>41</v>
      </c>
    </row>
    <row r="33" spans="5:7" x14ac:dyDescent="0.25">
      <c r="E33" s="13" t="s">
        <v>42</v>
      </c>
      <c r="F33" s="14" t="s">
        <v>43</v>
      </c>
      <c r="G33" s="13" t="s">
        <v>44</v>
      </c>
    </row>
    <row r="34" spans="5:7" x14ac:dyDescent="0.25">
      <c r="E34" s="13" t="s">
        <v>45</v>
      </c>
      <c r="F34" s="14" t="s">
        <v>46</v>
      </c>
      <c r="G34" s="13" t="s">
        <v>47</v>
      </c>
    </row>
    <row r="35" spans="5:7" x14ac:dyDescent="0.25">
      <c r="E35" s="13" t="s">
        <v>48</v>
      </c>
      <c r="F35" s="14" t="s">
        <v>49</v>
      </c>
      <c r="G35" s="13" t="s">
        <v>50</v>
      </c>
    </row>
    <row r="37" spans="5:7" ht="18.75" x14ac:dyDescent="0.25">
      <c r="E37" s="15" t="s">
        <v>52</v>
      </c>
      <c r="F37" s="15" t="s">
        <v>53</v>
      </c>
      <c r="G37" s="15" t="s">
        <v>54</v>
      </c>
    </row>
    <row r="38" spans="5:7" x14ac:dyDescent="0.25">
      <c r="E38" s="8">
        <v>10</v>
      </c>
      <c r="F38" s="8">
        <v>10</v>
      </c>
      <c r="G38" s="8"/>
    </row>
    <row r="39" spans="5:7" x14ac:dyDescent="0.25">
      <c r="E39" s="8">
        <v>20</v>
      </c>
      <c r="F39" s="8">
        <v>15</v>
      </c>
      <c r="G39" s="8"/>
    </row>
    <row r="40" spans="5:7" x14ac:dyDescent="0.25">
      <c r="E40" s="8">
        <v>10</v>
      </c>
      <c r="F40" s="8">
        <v>8</v>
      </c>
      <c r="G40" s="8"/>
    </row>
    <row r="41" spans="5:7" x14ac:dyDescent="0.25">
      <c r="E41" s="8">
        <v>50</v>
      </c>
      <c r="F41" s="8">
        <v>50</v>
      </c>
      <c r="G41" s="8"/>
    </row>
    <row r="42" spans="5:7" x14ac:dyDescent="0.25">
      <c r="E42" s="8">
        <v>30</v>
      </c>
      <c r="F42" s="8">
        <v>25</v>
      </c>
      <c r="G42" s="8"/>
    </row>
    <row r="43" spans="5:7" x14ac:dyDescent="0.25">
      <c r="E43" s="8">
        <v>100</v>
      </c>
      <c r="F43" s="8">
        <v>90</v>
      </c>
      <c r="G43" s="8"/>
    </row>
  </sheetData>
  <mergeCells count="24">
    <mergeCell ref="A1:L2"/>
    <mergeCell ref="A17:E17"/>
    <mergeCell ref="B12:F12"/>
    <mergeCell ref="A10:F10"/>
    <mergeCell ref="B13:F13"/>
    <mergeCell ref="B14:F14"/>
    <mergeCell ref="B11:F11"/>
    <mergeCell ref="H17:K17"/>
    <mergeCell ref="F17:G17"/>
    <mergeCell ref="A29:C29"/>
    <mergeCell ref="A24:L25"/>
    <mergeCell ref="A18:E18"/>
    <mergeCell ref="A19:E19"/>
    <mergeCell ref="A20:E20"/>
    <mergeCell ref="A21:E21"/>
    <mergeCell ref="A22:E22"/>
    <mergeCell ref="F18:G18"/>
    <mergeCell ref="F19:G19"/>
    <mergeCell ref="F20:G20"/>
    <mergeCell ref="F21:G21"/>
    <mergeCell ref="F22:G22"/>
    <mergeCell ref="H18:K18"/>
    <mergeCell ref="H19:K19"/>
    <mergeCell ref="H22:K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088D-C4E3-427B-852F-CBB37D2C3AF4}">
  <dimension ref="A1:G28"/>
  <sheetViews>
    <sheetView topLeftCell="A11" workbookViewId="0">
      <selection activeCell="G23" sqref="G23"/>
    </sheetView>
  </sheetViews>
  <sheetFormatPr defaultRowHeight="15" x14ac:dyDescent="0.25"/>
  <cols>
    <col min="4" max="4" width="19" customWidth="1"/>
    <col min="5" max="5" width="27.5703125" customWidth="1"/>
    <col min="6" max="6" width="17" customWidth="1"/>
    <col min="7" max="7" width="14.5703125" customWidth="1"/>
  </cols>
  <sheetData>
    <row r="1" spans="1:7" ht="18.75" x14ac:dyDescent="0.3">
      <c r="A1" s="20" t="s">
        <v>55</v>
      </c>
      <c r="B1" s="16"/>
      <c r="C1" s="16"/>
      <c r="D1" s="16"/>
    </row>
    <row r="2" spans="1:7" ht="18.75" x14ac:dyDescent="0.3">
      <c r="A2" s="20" t="s">
        <v>56</v>
      </c>
      <c r="B2" s="16"/>
      <c r="C2" s="16"/>
      <c r="D2" s="16"/>
    </row>
    <row r="4" spans="1:7" ht="18.75" x14ac:dyDescent="0.25">
      <c r="D4" s="15" t="s">
        <v>57</v>
      </c>
      <c r="E4" s="15" t="s">
        <v>58</v>
      </c>
      <c r="F4" s="15" t="s">
        <v>59</v>
      </c>
      <c r="G4" s="15" t="s">
        <v>54</v>
      </c>
    </row>
    <row r="5" spans="1:7" x14ac:dyDescent="0.25">
      <c r="D5" s="14" t="s">
        <v>60</v>
      </c>
      <c r="E5" s="14" t="s">
        <v>61</v>
      </c>
      <c r="F5" s="21">
        <v>65000</v>
      </c>
      <c r="G5" s="14"/>
    </row>
    <row r="6" spans="1:7" x14ac:dyDescent="0.25">
      <c r="D6" s="14" t="s">
        <v>62</v>
      </c>
      <c r="E6" s="14" t="s">
        <v>63</v>
      </c>
      <c r="F6" s="21">
        <v>42000</v>
      </c>
      <c r="G6" s="14"/>
    </row>
    <row r="7" spans="1:7" x14ac:dyDescent="0.25">
      <c r="D7" s="14" t="s">
        <v>64</v>
      </c>
      <c r="E7" s="14" t="s">
        <v>65</v>
      </c>
      <c r="F7" s="21">
        <v>78000</v>
      </c>
      <c r="G7" s="14"/>
    </row>
    <row r="8" spans="1:7" x14ac:dyDescent="0.25">
      <c r="D8" s="14" t="s">
        <v>66</v>
      </c>
      <c r="E8" s="14" t="s">
        <v>67</v>
      </c>
      <c r="F8" s="21">
        <v>35000</v>
      </c>
      <c r="G8" s="14"/>
    </row>
    <row r="9" spans="1:7" x14ac:dyDescent="0.25">
      <c r="D9" s="14" t="s">
        <v>68</v>
      </c>
      <c r="E9" s="14" t="s">
        <v>69</v>
      </c>
      <c r="F9" s="21">
        <v>91000</v>
      </c>
      <c r="G9" s="14"/>
    </row>
    <row r="10" spans="1:7" x14ac:dyDescent="0.25">
      <c r="D10" s="14" t="s">
        <v>70</v>
      </c>
      <c r="E10" s="14" t="s">
        <v>71</v>
      </c>
      <c r="F10" s="21">
        <v>50000</v>
      </c>
      <c r="G10" s="14"/>
    </row>
    <row r="11" spans="1:7" x14ac:dyDescent="0.25">
      <c r="D11" s="14" t="s">
        <v>72</v>
      </c>
      <c r="E11" s="14" t="s">
        <v>73</v>
      </c>
      <c r="F11" s="21">
        <v>28000</v>
      </c>
      <c r="G11" s="14"/>
    </row>
    <row r="12" spans="1:7" x14ac:dyDescent="0.25">
      <c r="D12" s="14" t="s">
        <v>74</v>
      </c>
      <c r="E12" s="14" t="s">
        <v>75</v>
      </c>
      <c r="F12" s="21">
        <v>73000</v>
      </c>
      <c r="G12" s="14"/>
    </row>
    <row r="13" spans="1:7" x14ac:dyDescent="0.25">
      <c r="D13" s="14" t="s">
        <v>76</v>
      </c>
      <c r="E13" s="14" t="s">
        <v>77</v>
      </c>
      <c r="F13" s="21">
        <v>49000</v>
      </c>
      <c r="G13" s="14"/>
    </row>
    <row r="14" spans="1:7" x14ac:dyDescent="0.25">
      <c r="D14" s="14" t="s">
        <v>78</v>
      </c>
      <c r="E14" s="14" t="s">
        <v>79</v>
      </c>
      <c r="F14" s="21">
        <v>56000</v>
      </c>
      <c r="G14" s="14"/>
    </row>
    <row r="16" spans="1:7" ht="18.75" x14ac:dyDescent="0.3">
      <c r="A16" s="20" t="s">
        <v>80</v>
      </c>
    </row>
    <row r="18" spans="4:6" ht="18.75" x14ac:dyDescent="0.25">
      <c r="D18" s="15" t="s">
        <v>81</v>
      </c>
      <c r="E18" s="15" t="s">
        <v>82</v>
      </c>
      <c r="F18" s="15" t="s">
        <v>54</v>
      </c>
    </row>
    <row r="19" spans="4:6" x14ac:dyDescent="0.25">
      <c r="D19" s="14" t="s">
        <v>61</v>
      </c>
      <c r="E19" s="14">
        <v>85</v>
      </c>
      <c r="F19" s="14"/>
    </row>
    <row r="20" spans="4:6" x14ac:dyDescent="0.25">
      <c r="D20" s="14" t="s">
        <v>63</v>
      </c>
      <c r="E20" s="14">
        <v>32</v>
      </c>
      <c r="F20" s="14"/>
    </row>
    <row r="21" spans="4:6" x14ac:dyDescent="0.25">
      <c r="D21" s="14" t="s">
        <v>65</v>
      </c>
      <c r="E21" s="14">
        <v>68</v>
      </c>
      <c r="F21" s="14"/>
    </row>
    <row r="22" spans="4:6" x14ac:dyDescent="0.25">
      <c r="D22" s="14" t="s">
        <v>67</v>
      </c>
      <c r="E22" s="14">
        <v>39</v>
      </c>
      <c r="F22" s="14"/>
    </row>
    <row r="23" spans="4:6" x14ac:dyDescent="0.25">
      <c r="D23" s="14" t="s">
        <v>69</v>
      </c>
      <c r="E23" s="14">
        <v>91</v>
      </c>
      <c r="F23" s="14"/>
    </row>
    <row r="24" spans="4:6" x14ac:dyDescent="0.25">
      <c r="D24" s="14" t="s">
        <v>71</v>
      </c>
      <c r="E24" s="14">
        <v>55</v>
      </c>
      <c r="F24" s="14"/>
    </row>
    <row r="25" spans="4:6" x14ac:dyDescent="0.25">
      <c r="D25" s="14" t="s">
        <v>73</v>
      </c>
      <c r="E25" s="14">
        <v>28</v>
      </c>
      <c r="F25" s="14"/>
    </row>
    <row r="26" spans="4:6" x14ac:dyDescent="0.25">
      <c r="D26" s="14" t="s">
        <v>75</v>
      </c>
      <c r="E26" s="14">
        <v>74</v>
      </c>
      <c r="F26" s="14"/>
    </row>
    <row r="27" spans="4:6" x14ac:dyDescent="0.25">
      <c r="D27" s="14" t="s">
        <v>77</v>
      </c>
      <c r="E27" s="14">
        <v>40</v>
      </c>
      <c r="F27" s="14"/>
    </row>
    <row r="28" spans="4:6" x14ac:dyDescent="0.25">
      <c r="D28" s="14" t="s">
        <v>79</v>
      </c>
      <c r="E28" s="14">
        <v>97</v>
      </c>
      <c r="F28"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B928-A952-471C-BA0F-69EAB79523A8}">
  <dimension ref="A1:T75"/>
  <sheetViews>
    <sheetView workbookViewId="0">
      <selection activeCell="G41" sqref="G41"/>
    </sheetView>
  </sheetViews>
  <sheetFormatPr defaultRowHeight="15" x14ac:dyDescent="0.25"/>
  <cols>
    <col min="1" max="2" width="20.7109375" customWidth="1"/>
    <col min="3" max="3" width="14" customWidth="1"/>
    <col min="4" max="4" width="17.140625" customWidth="1"/>
    <col min="5" max="5" width="26" customWidth="1"/>
    <col min="6" max="6" width="16.140625" customWidth="1"/>
    <col min="7" max="7" width="12" customWidth="1"/>
    <col min="9" max="9" width="12.28515625" customWidth="1"/>
    <col min="10" max="10" width="14.42578125" customWidth="1"/>
  </cols>
  <sheetData>
    <row r="1" spans="1:20" ht="15" customHeight="1" x14ac:dyDescent="0.25">
      <c r="A1" s="31" t="s">
        <v>83</v>
      </c>
      <c r="B1" s="31"/>
      <c r="C1" s="31"/>
      <c r="D1" s="31"/>
      <c r="E1" s="31"/>
      <c r="F1" s="31"/>
      <c r="G1" s="31"/>
      <c r="H1" s="31"/>
      <c r="I1" s="31"/>
      <c r="J1" s="31"/>
      <c r="K1" s="31"/>
      <c r="L1" s="31"/>
      <c r="M1" s="31"/>
      <c r="N1" s="31"/>
      <c r="O1" s="31"/>
      <c r="P1" s="31"/>
      <c r="Q1" s="31"/>
      <c r="R1" s="31"/>
      <c r="S1" s="31"/>
      <c r="T1" s="31"/>
    </row>
    <row r="2" spans="1:20" ht="15" customHeight="1" x14ac:dyDescent="0.25">
      <c r="A2" s="31"/>
      <c r="B2" s="31"/>
      <c r="C2" s="31"/>
      <c r="D2" s="31"/>
      <c r="E2" s="31"/>
      <c r="F2" s="31"/>
      <c r="G2" s="31"/>
      <c r="H2" s="31"/>
      <c r="I2" s="31"/>
      <c r="J2" s="31"/>
      <c r="K2" s="31"/>
      <c r="L2" s="31"/>
      <c r="M2" s="31"/>
      <c r="N2" s="31"/>
      <c r="O2" s="31"/>
      <c r="P2" s="31"/>
      <c r="Q2" s="31"/>
      <c r="R2" s="31"/>
      <c r="S2" s="31"/>
      <c r="T2" s="31"/>
    </row>
    <row r="4" spans="1:20" ht="18.75" x14ac:dyDescent="0.3">
      <c r="A4" s="16" t="s">
        <v>84</v>
      </c>
    </row>
    <row r="6" spans="1:20" ht="18.75" x14ac:dyDescent="0.3">
      <c r="A6" s="22" t="s">
        <v>87</v>
      </c>
    </row>
    <row r="7" spans="1:20" ht="18.75" x14ac:dyDescent="0.3">
      <c r="C7" s="16" t="s">
        <v>85</v>
      </c>
    </row>
    <row r="8" spans="1:20" ht="18.75" x14ac:dyDescent="0.3">
      <c r="C8" s="16" t="s">
        <v>86</v>
      </c>
    </row>
    <row r="11" spans="1:20" ht="15" customHeight="1" x14ac:dyDescent="0.25">
      <c r="A11" s="31" t="s">
        <v>88</v>
      </c>
      <c r="B11" s="31"/>
      <c r="C11" s="31"/>
      <c r="D11" s="31"/>
      <c r="E11" s="31"/>
      <c r="F11" s="31"/>
      <c r="G11" s="31"/>
      <c r="H11" s="31"/>
      <c r="I11" s="31"/>
      <c r="J11" s="31"/>
      <c r="K11" s="31"/>
      <c r="L11" s="31"/>
      <c r="M11" s="31"/>
      <c r="N11" s="31"/>
      <c r="O11" s="31"/>
      <c r="P11" s="31"/>
      <c r="Q11" s="31"/>
      <c r="R11" s="31"/>
      <c r="S11" s="31"/>
      <c r="T11" s="31"/>
    </row>
    <row r="12" spans="1:20" ht="16.5" customHeight="1" x14ac:dyDescent="0.25">
      <c r="A12" s="31"/>
      <c r="B12" s="31"/>
      <c r="C12" s="31"/>
      <c r="D12" s="31"/>
      <c r="E12" s="31"/>
      <c r="F12" s="31"/>
      <c r="G12" s="31"/>
      <c r="H12" s="31"/>
      <c r="I12" s="31"/>
      <c r="J12" s="31"/>
      <c r="K12" s="31"/>
      <c r="L12" s="31"/>
      <c r="M12" s="31"/>
      <c r="N12" s="31"/>
      <c r="O12" s="31"/>
      <c r="P12" s="31"/>
      <c r="Q12" s="31"/>
      <c r="R12" s="31"/>
      <c r="S12" s="31"/>
      <c r="T12" s="31"/>
    </row>
    <row r="13" spans="1:20" ht="13.5" customHeight="1" x14ac:dyDescent="0.25"/>
    <row r="14" spans="1:20" ht="13.5" customHeight="1" x14ac:dyDescent="0.25">
      <c r="A14" t="s">
        <v>100</v>
      </c>
    </row>
    <row r="16" spans="1:20" x14ac:dyDescent="0.25">
      <c r="A16" s="12" t="s">
        <v>82</v>
      </c>
      <c r="B16" s="12" t="s">
        <v>89</v>
      </c>
      <c r="D16" s="12" t="s">
        <v>101</v>
      </c>
      <c r="E16" s="12" t="s">
        <v>102</v>
      </c>
      <c r="F16" s="12" t="s">
        <v>82</v>
      </c>
      <c r="G16" s="12" t="s">
        <v>54</v>
      </c>
      <c r="I16" s="12" t="s">
        <v>101</v>
      </c>
      <c r="J16" s="12" t="s">
        <v>102</v>
      </c>
      <c r="K16" s="12" t="s">
        <v>82</v>
      </c>
      <c r="L16" s="12" t="s">
        <v>54</v>
      </c>
    </row>
    <row r="17" spans="1:20" x14ac:dyDescent="0.25">
      <c r="A17" s="14" t="s">
        <v>90</v>
      </c>
      <c r="B17" s="14" t="s">
        <v>114</v>
      </c>
      <c r="D17" s="14" t="s">
        <v>103</v>
      </c>
      <c r="E17" s="14" t="s">
        <v>61</v>
      </c>
      <c r="F17" s="14">
        <v>95</v>
      </c>
      <c r="G17" s="14"/>
      <c r="I17" s="14" t="s">
        <v>103</v>
      </c>
      <c r="J17" s="14" t="s">
        <v>61</v>
      </c>
      <c r="K17" s="14">
        <v>95</v>
      </c>
      <c r="L17" s="14"/>
    </row>
    <row r="18" spans="1:20" x14ac:dyDescent="0.25">
      <c r="A18" s="14" t="s">
        <v>115</v>
      </c>
      <c r="B18" s="14" t="s">
        <v>116</v>
      </c>
      <c r="D18" s="14" t="s">
        <v>104</v>
      </c>
      <c r="E18" s="14" t="s">
        <v>63</v>
      </c>
      <c r="F18" s="14">
        <v>82</v>
      </c>
      <c r="G18" s="14"/>
      <c r="I18" s="14" t="s">
        <v>104</v>
      </c>
      <c r="J18" s="14" t="s">
        <v>63</v>
      </c>
      <c r="K18" s="14">
        <v>82</v>
      </c>
      <c r="L18" s="14"/>
    </row>
    <row r="19" spans="1:20" x14ac:dyDescent="0.25">
      <c r="A19" s="14" t="s">
        <v>117</v>
      </c>
      <c r="B19" s="14" t="s">
        <v>99</v>
      </c>
      <c r="D19" s="14" t="s">
        <v>105</v>
      </c>
      <c r="E19" s="14" t="s">
        <v>65</v>
      </c>
      <c r="F19" s="14">
        <v>74</v>
      </c>
      <c r="G19" s="14"/>
      <c r="I19" s="14" t="s">
        <v>105</v>
      </c>
      <c r="J19" s="14" t="s">
        <v>65</v>
      </c>
      <c r="K19" s="14">
        <v>74</v>
      </c>
      <c r="L19" s="14"/>
    </row>
    <row r="20" spans="1:20" x14ac:dyDescent="0.25">
      <c r="D20" s="14" t="s">
        <v>106</v>
      </c>
      <c r="E20" s="14" t="s">
        <v>67</v>
      </c>
      <c r="F20" s="14">
        <v>67</v>
      </c>
      <c r="G20" s="14"/>
      <c r="I20" s="14" t="s">
        <v>106</v>
      </c>
      <c r="J20" s="14" t="s">
        <v>67</v>
      </c>
      <c r="K20" s="14">
        <v>67</v>
      </c>
      <c r="L20" s="14"/>
    </row>
    <row r="21" spans="1:20" x14ac:dyDescent="0.25">
      <c r="D21" s="14" t="s">
        <v>107</v>
      </c>
      <c r="E21" s="14" t="s">
        <v>69</v>
      </c>
      <c r="F21" s="14">
        <v>55</v>
      </c>
      <c r="G21" s="14"/>
      <c r="I21" s="14" t="s">
        <v>107</v>
      </c>
      <c r="J21" s="14" t="s">
        <v>69</v>
      </c>
      <c r="K21" s="14">
        <v>55</v>
      </c>
      <c r="L21" s="14"/>
    </row>
    <row r="22" spans="1:20" x14ac:dyDescent="0.25">
      <c r="D22" s="14" t="s">
        <v>108</v>
      </c>
      <c r="E22" s="14" t="s">
        <v>71</v>
      </c>
      <c r="F22" s="14">
        <v>48</v>
      </c>
      <c r="G22" s="14"/>
      <c r="I22" s="14" t="s">
        <v>108</v>
      </c>
      <c r="J22" s="14" t="s">
        <v>71</v>
      </c>
      <c r="K22" s="14">
        <v>48</v>
      </c>
      <c r="L22" s="14"/>
    </row>
    <row r="23" spans="1:20" x14ac:dyDescent="0.25">
      <c r="A23" s="12" t="s">
        <v>82</v>
      </c>
      <c r="B23" s="12" t="s">
        <v>89</v>
      </c>
      <c r="D23" s="14" t="s">
        <v>109</v>
      </c>
      <c r="E23" s="14" t="s">
        <v>73</v>
      </c>
      <c r="F23" s="14">
        <v>39</v>
      </c>
      <c r="G23" s="14"/>
      <c r="I23" s="14" t="s">
        <v>109</v>
      </c>
      <c r="J23" s="14" t="s">
        <v>73</v>
      </c>
      <c r="K23" s="14">
        <v>39</v>
      </c>
      <c r="L23" s="14"/>
    </row>
    <row r="24" spans="1:20" x14ac:dyDescent="0.25">
      <c r="A24" s="14" t="s">
        <v>90</v>
      </c>
      <c r="B24" s="14" t="s">
        <v>91</v>
      </c>
      <c r="D24" s="14" t="s">
        <v>110</v>
      </c>
      <c r="E24" s="14" t="s">
        <v>75</v>
      </c>
      <c r="F24" s="14">
        <v>88</v>
      </c>
      <c r="G24" s="14"/>
      <c r="I24" s="14" t="s">
        <v>110</v>
      </c>
      <c r="J24" s="14" t="s">
        <v>75</v>
      </c>
      <c r="K24" s="14">
        <v>88</v>
      </c>
      <c r="L24" s="14"/>
    </row>
    <row r="25" spans="1:20" x14ac:dyDescent="0.25">
      <c r="A25" s="14" t="s">
        <v>92</v>
      </c>
      <c r="B25" s="14" t="s">
        <v>93</v>
      </c>
      <c r="D25" s="14" t="s">
        <v>111</v>
      </c>
      <c r="E25" s="14" t="s">
        <v>77</v>
      </c>
      <c r="F25" s="14">
        <v>61</v>
      </c>
      <c r="G25" s="14"/>
      <c r="I25" s="14" t="s">
        <v>111</v>
      </c>
      <c r="J25" s="14" t="s">
        <v>77</v>
      </c>
      <c r="K25" s="14">
        <v>61</v>
      </c>
      <c r="L25" s="14"/>
    </row>
    <row r="26" spans="1:20" x14ac:dyDescent="0.25">
      <c r="A26" s="14" t="s">
        <v>94</v>
      </c>
      <c r="B26" s="14" t="s">
        <v>95</v>
      </c>
      <c r="D26" s="14" t="s">
        <v>112</v>
      </c>
      <c r="E26" s="14" t="s">
        <v>79</v>
      </c>
      <c r="F26" s="14">
        <v>27</v>
      </c>
      <c r="G26" s="14"/>
      <c r="I26" s="14" t="s">
        <v>112</v>
      </c>
      <c r="J26" s="14" t="s">
        <v>79</v>
      </c>
      <c r="K26" s="14">
        <v>27</v>
      </c>
      <c r="L26" s="14"/>
    </row>
    <row r="27" spans="1:20" x14ac:dyDescent="0.25">
      <c r="A27" s="14" t="s">
        <v>96</v>
      </c>
      <c r="B27" s="14" t="s">
        <v>97</v>
      </c>
    </row>
    <row r="28" spans="1:20" x14ac:dyDescent="0.25">
      <c r="A28" s="14" t="s">
        <v>98</v>
      </c>
      <c r="B28" s="14" t="s">
        <v>99</v>
      </c>
    </row>
    <row r="30" spans="1:20" ht="15" customHeight="1" x14ac:dyDescent="0.4">
      <c r="A30" s="31" t="s">
        <v>113</v>
      </c>
      <c r="B30" s="31"/>
      <c r="C30" s="31"/>
      <c r="D30" s="31"/>
      <c r="E30" s="31"/>
      <c r="F30" s="31"/>
      <c r="G30" s="31"/>
      <c r="H30" s="31"/>
      <c r="I30" s="31"/>
      <c r="J30" s="31"/>
      <c r="K30" s="31"/>
      <c r="L30" s="31"/>
      <c r="M30" s="31"/>
      <c r="N30" s="9"/>
      <c r="O30" s="9"/>
      <c r="P30" s="9"/>
      <c r="Q30" s="9"/>
      <c r="R30" s="9"/>
      <c r="S30" s="9"/>
      <c r="T30" s="9"/>
    </row>
    <row r="31" spans="1:20" ht="15" customHeight="1" x14ac:dyDescent="0.4">
      <c r="A31" s="31"/>
      <c r="B31" s="31"/>
      <c r="C31" s="31"/>
      <c r="D31" s="31"/>
      <c r="E31" s="31"/>
      <c r="F31" s="31"/>
      <c r="G31" s="31"/>
      <c r="H31" s="31"/>
      <c r="I31" s="31"/>
      <c r="J31" s="31"/>
      <c r="K31" s="31"/>
      <c r="L31" s="31"/>
      <c r="M31" s="31"/>
      <c r="N31" s="9"/>
      <c r="O31" s="9"/>
      <c r="P31" s="9"/>
      <c r="Q31" s="9"/>
      <c r="R31" s="9"/>
      <c r="S31" s="9"/>
      <c r="T31" s="9"/>
    </row>
    <row r="33" spans="1:20" ht="18" x14ac:dyDescent="0.25">
      <c r="A33" s="2" t="s">
        <v>120</v>
      </c>
      <c r="D33" s="12" t="s">
        <v>118</v>
      </c>
      <c r="E33" s="12" t="s">
        <v>59</v>
      </c>
      <c r="F33" s="12" t="s">
        <v>119</v>
      </c>
    </row>
    <row r="34" spans="1:20" x14ac:dyDescent="0.25">
      <c r="D34" s="14" t="s">
        <v>61</v>
      </c>
      <c r="E34" s="21">
        <v>92000</v>
      </c>
      <c r="F34" s="14"/>
    </row>
    <row r="35" spans="1:20" x14ac:dyDescent="0.25">
      <c r="A35" s="3" t="s">
        <v>59</v>
      </c>
      <c r="B35" s="3" t="s">
        <v>119</v>
      </c>
      <c r="D35" s="14" t="s">
        <v>63</v>
      </c>
      <c r="E35" s="21">
        <v>78000</v>
      </c>
      <c r="F35" s="14"/>
    </row>
    <row r="36" spans="1:20" x14ac:dyDescent="0.25">
      <c r="A36" s="17" t="s">
        <v>121</v>
      </c>
      <c r="B36" s="17" t="s">
        <v>122</v>
      </c>
      <c r="D36" s="14" t="s">
        <v>65</v>
      </c>
      <c r="E36" s="21">
        <v>65000</v>
      </c>
      <c r="F36" s="14"/>
    </row>
    <row r="37" spans="1:20" x14ac:dyDescent="0.25">
      <c r="A37" s="17" t="s">
        <v>123</v>
      </c>
      <c r="B37" s="17" t="s">
        <v>124</v>
      </c>
      <c r="D37" s="14" t="s">
        <v>67</v>
      </c>
      <c r="E37" s="21">
        <v>48000</v>
      </c>
      <c r="F37" s="14"/>
    </row>
    <row r="38" spans="1:20" x14ac:dyDescent="0.25">
      <c r="A38" s="17" t="s">
        <v>125</v>
      </c>
      <c r="B38" s="17" t="s">
        <v>126</v>
      </c>
      <c r="D38" s="14" t="s">
        <v>69</v>
      </c>
      <c r="E38" s="21">
        <v>32000</v>
      </c>
      <c r="F38" s="14"/>
    </row>
    <row r="39" spans="1:20" x14ac:dyDescent="0.25">
      <c r="A39" s="17" t="s">
        <v>127</v>
      </c>
      <c r="B39" s="17" t="s">
        <v>128</v>
      </c>
      <c r="D39" s="14" t="s">
        <v>71</v>
      </c>
      <c r="E39" s="21">
        <v>85000</v>
      </c>
      <c r="F39" s="14"/>
    </row>
    <row r="40" spans="1:20" x14ac:dyDescent="0.25">
      <c r="A40" s="17" t="s">
        <v>129</v>
      </c>
      <c r="B40" s="17" t="s">
        <v>130</v>
      </c>
      <c r="D40" s="14" t="s">
        <v>73</v>
      </c>
      <c r="E40" s="21">
        <v>55000</v>
      </c>
      <c r="F40" s="14"/>
    </row>
    <row r="41" spans="1:20" x14ac:dyDescent="0.25">
      <c r="D41" s="14" t="s">
        <v>75</v>
      </c>
      <c r="E41" s="21">
        <v>95000</v>
      </c>
      <c r="F41" s="14"/>
    </row>
    <row r="42" spans="1:20" x14ac:dyDescent="0.25">
      <c r="D42" s="14" t="s">
        <v>77</v>
      </c>
      <c r="E42" s="21">
        <v>72000</v>
      </c>
      <c r="F42" s="14"/>
    </row>
    <row r="43" spans="1:20" x14ac:dyDescent="0.25">
      <c r="D43" s="14" t="s">
        <v>79</v>
      </c>
      <c r="E43" s="21">
        <v>40000</v>
      </c>
      <c r="F43" s="14"/>
    </row>
    <row r="45" spans="1:20" ht="15" customHeight="1" x14ac:dyDescent="0.4">
      <c r="A45" s="31" t="s">
        <v>131</v>
      </c>
      <c r="B45" s="31"/>
      <c r="C45" s="31"/>
      <c r="D45" s="31"/>
      <c r="E45" s="31"/>
      <c r="F45" s="31"/>
      <c r="G45" s="31"/>
      <c r="H45" s="31"/>
      <c r="I45" s="31"/>
      <c r="J45" s="31"/>
      <c r="K45" s="31"/>
      <c r="L45" s="31"/>
      <c r="M45" s="31"/>
      <c r="N45" s="31"/>
      <c r="O45" s="9"/>
      <c r="P45" s="9"/>
      <c r="Q45" s="9"/>
      <c r="R45" s="9"/>
      <c r="S45" s="9"/>
      <c r="T45" s="9"/>
    </row>
    <row r="46" spans="1:20" ht="15" customHeight="1" x14ac:dyDescent="0.4">
      <c r="A46" s="31"/>
      <c r="B46" s="31"/>
      <c r="C46" s="31"/>
      <c r="D46" s="31"/>
      <c r="E46" s="31"/>
      <c r="F46" s="31"/>
      <c r="G46" s="31"/>
      <c r="H46" s="31"/>
      <c r="I46" s="31"/>
      <c r="J46" s="31"/>
      <c r="K46" s="31"/>
      <c r="L46" s="31"/>
      <c r="M46" s="31"/>
      <c r="N46" s="31"/>
      <c r="O46" s="9"/>
      <c r="P46" s="9"/>
      <c r="Q46" s="9"/>
      <c r="R46" s="9"/>
      <c r="S46" s="9"/>
      <c r="T46" s="9"/>
    </row>
    <row r="48" spans="1:20" ht="18" x14ac:dyDescent="0.25">
      <c r="A48" s="2" t="s">
        <v>132</v>
      </c>
    </row>
    <row r="50" spans="1:14" x14ac:dyDescent="0.25">
      <c r="A50" s="12" t="s">
        <v>133</v>
      </c>
      <c r="B50" s="12" t="s">
        <v>134</v>
      </c>
      <c r="D50" s="12" t="s">
        <v>140</v>
      </c>
      <c r="E50" s="12" t="s">
        <v>141</v>
      </c>
      <c r="F50" s="12" t="s">
        <v>142</v>
      </c>
    </row>
    <row r="51" spans="1:14" x14ac:dyDescent="0.25">
      <c r="A51" s="14" t="s">
        <v>135</v>
      </c>
      <c r="B51" s="23">
        <v>0.25</v>
      </c>
      <c r="D51" s="14" t="s">
        <v>61</v>
      </c>
      <c r="E51" s="21">
        <v>120000</v>
      </c>
      <c r="F51" s="14"/>
    </row>
    <row r="52" spans="1:14" x14ac:dyDescent="0.25">
      <c r="A52" s="14" t="s">
        <v>136</v>
      </c>
      <c r="B52" s="23">
        <v>0.2</v>
      </c>
      <c r="D52" s="14" t="s">
        <v>63</v>
      </c>
      <c r="E52" s="21">
        <v>85000</v>
      </c>
      <c r="F52" s="14"/>
    </row>
    <row r="53" spans="1:14" x14ac:dyDescent="0.25">
      <c r="A53" s="14" t="s">
        <v>137</v>
      </c>
      <c r="B53" s="23">
        <v>0.1</v>
      </c>
      <c r="D53" s="14" t="s">
        <v>65</v>
      </c>
      <c r="E53" s="21">
        <v>65000</v>
      </c>
      <c r="F53" s="14"/>
    </row>
    <row r="54" spans="1:14" x14ac:dyDescent="0.25">
      <c r="A54" s="14" t="s">
        <v>138</v>
      </c>
      <c r="B54" s="14" t="s">
        <v>139</v>
      </c>
      <c r="D54" s="14" t="s">
        <v>67</v>
      </c>
      <c r="E54" s="21">
        <v>48000</v>
      </c>
      <c r="F54" s="14"/>
    </row>
    <row r="55" spans="1:14" x14ac:dyDescent="0.25">
      <c r="D55" s="14" t="s">
        <v>69</v>
      </c>
      <c r="E55" s="21">
        <v>30000</v>
      </c>
      <c r="F55" s="14"/>
    </row>
    <row r="56" spans="1:14" x14ac:dyDescent="0.25">
      <c r="D56" s="14" t="s">
        <v>71</v>
      </c>
      <c r="E56" s="21">
        <v>95000</v>
      </c>
      <c r="F56" s="14"/>
    </row>
    <row r="57" spans="1:14" x14ac:dyDescent="0.25">
      <c r="D57" s="14" t="s">
        <v>73</v>
      </c>
      <c r="E57" s="21">
        <v>72000</v>
      </c>
      <c r="F57" s="14"/>
    </row>
    <row r="58" spans="1:14" x14ac:dyDescent="0.25">
      <c r="D58" s="14" t="s">
        <v>75</v>
      </c>
      <c r="E58" s="21">
        <v>150000</v>
      </c>
      <c r="F58" s="14"/>
    </row>
    <row r="59" spans="1:14" x14ac:dyDescent="0.25">
      <c r="D59" s="14" t="s">
        <v>77</v>
      </c>
      <c r="E59" s="21">
        <v>55000</v>
      </c>
      <c r="F59" s="14"/>
    </row>
    <row r="60" spans="1:14" x14ac:dyDescent="0.25">
      <c r="D60" s="14" t="s">
        <v>79</v>
      </c>
      <c r="E60" s="21">
        <v>22000</v>
      </c>
      <c r="F60" s="14"/>
    </row>
    <row r="62" spans="1:14" x14ac:dyDescent="0.25">
      <c r="A62" s="31" t="s">
        <v>143</v>
      </c>
      <c r="B62" s="31"/>
      <c r="C62" s="31"/>
      <c r="D62" s="31"/>
      <c r="E62" s="31"/>
      <c r="F62" s="31"/>
      <c r="G62" s="31"/>
      <c r="H62" s="31"/>
      <c r="I62" s="31"/>
      <c r="J62" s="31"/>
      <c r="K62" s="31"/>
      <c r="L62" s="31"/>
      <c r="M62" s="31"/>
      <c r="N62" s="31"/>
    </row>
    <row r="63" spans="1:14" x14ac:dyDescent="0.25">
      <c r="A63" s="31"/>
      <c r="B63" s="31"/>
      <c r="C63" s="31"/>
      <c r="D63" s="31"/>
      <c r="E63" s="31"/>
      <c r="F63" s="31"/>
      <c r="G63" s="31"/>
      <c r="H63" s="31"/>
      <c r="I63" s="31"/>
      <c r="J63" s="31"/>
      <c r="K63" s="31"/>
      <c r="L63" s="31"/>
      <c r="M63" s="31"/>
      <c r="N63" s="31"/>
    </row>
    <row r="65" spans="1:6" ht="18" x14ac:dyDescent="0.25">
      <c r="A65" s="2" t="s">
        <v>152</v>
      </c>
      <c r="D65" s="12" t="s">
        <v>140</v>
      </c>
      <c r="E65" s="12" t="s">
        <v>141</v>
      </c>
      <c r="F65" s="12" t="s">
        <v>142</v>
      </c>
    </row>
    <row r="66" spans="1:6" x14ac:dyDescent="0.25">
      <c r="D66" s="14" t="s">
        <v>61</v>
      </c>
      <c r="E66" s="21">
        <v>120000</v>
      </c>
      <c r="F66" s="14"/>
    </row>
    <row r="67" spans="1:6" x14ac:dyDescent="0.25">
      <c r="A67" s="12" t="s">
        <v>141</v>
      </c>
      <c r="B67" s="12" t="s">
        <v>142</v>
      </c>
      <c r="D67" s="14" t="s">
        <v>63</v>
      </c>
      <c r="E67" s="21">
        <v>85000</v>
      </c>
      <c r="F67" s="14"/>
    </row>
    <row r="68" spans="1:6" x14ac:dyDescent="0.25">
      <c r="A68" s="14" t="s">
        <v>144</v>
      </c>
      <c r="B68" s="14" t="s">
        <v>145</v>
      </c>
      <c r="D68" s="14" t="s">
        <v>65</v>
      </c>
      <c r="E68" s="21">
        <v>65000</v>
      </c>
      <c r="F68" s="14"/>
    </row>
    <row r="69" spans="1:6" x14ac:dyDescent="0.25">
      <c r="A69" s="14" t="s">
        <v>146</v>
      </c>
      <c r="B69" s="14" t="s">
        <v>147</v>
      </c>
      <c r="D69" s="14" t="s">
        <v>67</v>
      </c>
      <c r="E69" s="21">
        <v>48000</v>
      </c>
      <c r="F69" s="14"/>
    </row>
    <row r="70" spans="1:6" x14ac:dyDescent="0.25">
      <c r="A70" s="14" t="s">
        <v>148</v>
      </c>
      <c r="B70" s="14" t="s">
        <v>149</v>
      </c>
      <c r="D70" s="14" t="s">
        <v>69</v>
      </c>
      <c r="E70" s="21">
        <v>30000</v>
      </c>
      <c r="F70" s="14"/>
    </row>
    <row r="71" spans="1:6" x14ac:dyDescent="0.25">
      <c r="A71" s="14" t="s">
        <v>150</v>
      </c>
      <c r="B71" s="14" t="s">
        <v>151</v>
      </c>
      <c r="D71" s="14" t="s">
        <v>71</v>
      </c>
      <c r="E71" s="21">
        <v>95000</v>
      </c>
      <c r="F71" s="14"/>
    </row>
    <row r="72" spans="1:6" x14ac:dyDescent="0.25">
      <c r="D72" s="14" t="s">
        <v>73</v>
      </c>
      <c r="E72" s="21">
        <v>72000</v>
      </c>
      <c r="F72" s="14"/>
    </row>
    <row r="73" spans="1:6" x14ac:dyDescent="0.25">
      <c r="D73" s="14" t="s">
        <v>75</v>
      </c>
      <c r="E73" s="21">
        <v>150000</v>
      </c>
      <c r="F73" s="14"/>
    </row>
    <row r="74" spans="1:6" x14ac:dyDescent="0.25">
      <c r="D74" s="14" t="s">
        <v>77</v>
      </c>
      <c r="E74" s="21">
        <v>55000</v>
      </c>
      <c r="F74" s="14"/>
    </row>
    <row r="75" spans="1:6" x14ac:dyDescent="0.25">
      <c r="D75" s="14" t="s">
        <v>79</v>
      </c>
      <c r="E75" s="21">
        <v>22000</v>
      </c>
      <c r="F75" s="14"/>
    </row>
  </sheetData>
  <mergeCells count="7">
    <mergeCell ref="N1:T2"/>
    <mergeCell ref="A62:N63"/>
    <mergeCell ref="A45:N46"/>
    <mergeCell ref="A30:M31"/>
    <mergeCell ref="A11:M12"/>
    <mergeCell ref="N11:T12"/>
    <mergeCell ref="A1: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00155-61D9-46DD-B706-C7989982B194}">
  <dimension ref="A1:Q78"/>
  <sheetViews>
    <sheetView tabSelected="1" workbookViewId="0">
      <selection activeCell="D68" sqref="D68"/>
    </sheetView>
  </sheetViews>
  <sheetFormatPr defaultRowHeight="15" x14ac:dyDescent="0.25"/>
  <cols>
    <col min="2" max="2" width="32.85546875" customWidth="1"/>
    <col min="3" max="3" width="15.85546875" customWidth="1"/>
    <col min="4" max="4" width="13.85546875" customWidth="1"/>
    <col min="5" max="5" width="25" customWidth="1"/>
    <col min="6" max="6" width="12.42578125" customWidth="1"/>
    <col min="7" max="7" width="30.7109375" customWidth="1"/>
  </cols>
  <sheetData>
    <row r="1" spans="1:17" x14ac:dyDescent="0.25">
      <c r="A1" s="31" t="s">
        <v>153</v>
      </c>
      <c r="B1" s="31"/>
      <c r="C1" s="31"/>
      <c r="D1" s="31"/>
      <c r="E1" s="31"/>
      <c r="F1" s="31"/>
      <c r="G1" s="31"/>
      <c r="H1" s="31"/>
      <c r="I1" s="31"/>
      <c r="J1" s="31"/>
      <c r="K1" s="31"/>
      <c r="L1" s="31"/>
      <c r="M1" s="31"/>
      <c r="N1" s="31"/>
      <c r="O1" s="31"/>
      <c r="P1" s="31"/>
      <c r="Q1" s="31"/>
    </row>
    <row r="2" spans="1:17" x14ac:dyDescent="0.25">
      <c r="A2" s="31"/>
      <c r="B2" s="31"/>
      <c r="C2" s="31"/>
      <c r="D2" s="31"/>
      <c r="E2" s="31"/>
      <c r="F2" s="31"/>
      <c r="G2" s="31"/>
      <c r="H2" s="31"/>
      <c r="I2" s="31"/>
      <c r="J2" s="31"/>
      <c r="K2" s="31"/>
      <c r="L2" s="31"/>
      <c r="M2" s="31"/>
      <c r="N2" s="31"/>
      <c r="O2" s="31"/>
      <c r="P2" s="31"/>
      <c r="Q2" s="31"/>
    </row>
    <row r="4" spans="1:17" x14ac:dyDescent="0.25">
      <c r="A4" t="s">
        <v>154</v>
      </c>
    </row>
    <row r="5" spans="1:17" x14ac:dyDescent="0.25">
      <c r="A5" t="s">
        <v>155</v>
      </c>
    </row>
    <row r="6" spans="1:17" x14ac:dyDescent="0.25">
      <c r="A6" t="s">
        <v>156</v>
      </c>
    </row>
    <row r="8" spans="1:17" ht="15.75" x14ac:dyDescent="0.25">
      <c r="B8" s="25" t="s">
        <v>173</v>
      </c>
    </row>
    <row r="9" spans="1:17" ht="15.75" x14ac:dyDescent="0.25">
      <c r="B9" s="25"/>
    </row>
    <row r="10" spans="1:17" x14ac:dyDescent="0.25">
      <c r="B10" s="34" t="s">
        <v>153</v>
      </c>
      <c r="C10" s="34"/>
      <c r="D10" s="34"/>
      <c r="E10" s="34"/>
    </row>
    <row r="11" spans="1:17" x14ac:dyDescent="0.25">
      <c r="B11" s="12" t="s">
        <v>5</v>
      </c>
      <c r="C11" s="33" t="s">
        <v>6</v>
      </c>
      <c r="D11" s="33"/>
      <c r="E11" s="33"/>
    </row>
    <row r="12" spans="1:17" x14ac:dyDescent="0.25">
      <c r="B12" s="4" t="s">
        <v>174</v>
      </c>
      <c r="C12" s="32" t="s">
        <v>175</v>
      </c>
      <c r="D12" s="32"/>
      <c r="E12" s="32"/>
    </row>
    <row r="13" spans="1:17" x14ac:dyDescent="0.25">
      <c r="B13" s="4" t="s">
        <v>176</v>
      </c>
      <c r="C13" s="32" t="s">
        <v>177</v>
      </c>
      <c r="D13" s="32"/>
      <c r="E13" s="32"/>
    </row>
    <row r="15" spans="1:17" x14ac:dyDescent="0.25">
      <c r="A15" s="19" t="s">
        <v>157</v>
      </c>
    </row>
    <row r="16" spans="1:17" x14ac:dyDescent="0.25">
      <c r="A16" t="s">
        <v>158</v>
      </c>
    </row>
    <row r="17" spans="1:13" x14ac:dyDescent="0.25">
      <c r="A17" t="s">
        <v>159</v>
      </c>
    </row>
    <row r="18" spans="1:13" x14ac:dyDescent="0.25">
      <c r="A18" t="s">
        <v>160</v>
      </c>
    </row>
    <row r="20" spans="1:13" x14ac:dyDescent="0.25">
      <c r="A20" s="12" t="s">
        <v>161</v>
      </c>
      <c r="B20" s="12" t="s">
        <v>6</v>
      </c>
      <c r="D20" s="12" t="s">
        <v>161</v>
      </c>
      <c r="E20" s="12" t="s">
        <v>169</v>
      </c>
      <c r="F20" s="12" t="s">
        <v>170</v>
      </c>
      <c r="G20" s="12"/>
    </row>
    <row r="21" spans="1:13" x14ac:dyDescent="0.25">
      <c r="A21" s="8" t="e">
        <v>#DIV/0!</v>
      </c>
      <c r="B21" s="8" t="s">
        <v>162</v>
      </c>
      <c r="D21" s="12" t="e">
        <v>#DIV/0!</v>
      </c>
      <c r="E21" s="14">
        <v>0</v>
      </c>
      <c r="F21" s="13">
        <v>100</v>
      </c>
      <c r="G21" s="13" t="e">
        <f>F21/E21</f>
        <v>#DIV/0!</v>
      </c>
    </row>
    <row r="22" spans="1:13" x14ac:dyDescent="0.25">
      <c r="A22" s="8" t="e">
        <v>#N/A</v>
      </c>
      <c r="B22" s="8" t="s">
        <v>163</v>
      </c>
      <c r="D22" s="12" t="e">
        <v>#N/A</v>
      </c>
      <c r="E22" s="24" t="s">
        <v>171</v>
      </c>
      <c r="F22" s="13"/>
      <c r="G22" s="13" t="e">
        <f>NA()</f>
        <v>#N/A</v>
      </c>
    </row>
    <row r="23" spans="1:13" x14ac:dyDescent="0.25">
      <c r="A23" s="14" t="e">
        <v>#VALUE!</v>
      </c>
      <c r="B23" s="14" t="s">
        <v>164</v>
      </c>
      <c r="D23" s="12" t="e">
        <v>#VALUE!</v>
      </c>
      <c r="E23" s="14">
        <v>1</v>
      </c>
      <c r="F23" s="13" t="s">
        <v>91</v>
      </c>
      <c r="G23" s="13" t="e">
        <f>F23*E23</f>
        <v>#VALUE!</v>
      </c>
    </row>
    <row r="24" spans="1:13" ht="15.75" x14ac:dyDescent="0.3">
      <c r="A24" s="14" t="e">
        <v>#REF!</v>
      </c>
      <c r="B24" s="14" t="s">
        <v>165</v>
      </c>
      <c r="D24" s="12" t="e">
        <v>#REF!</v>
      </c>
      <c r="E24" s="14">
        <v>10</v>
      </c>
      <c r="F24" s="13">
        <v>20</v>
      </c>
      <c r="G24" s="26" t="s">
        <v>172</v>
      </c>
    </row>
    <row r="25" spans="1:13" x14ac:dyDescent="0.25">
      <c r="A25" s="14" t="e">
        <v>#NAME?</v>
      </c>
      <c r="B25" s="14" t="s">
        <v>166</v>
      </c>
      <c r="D25" s="12" t="e">
        <v>#NAME?</v>
      </c>
      <c r="E25" s="24" t="s">
        <v>171</v>
      </c>
      <c r="F25" s="13"/>
      <c r="G25" s="13"/>
    </row>
    <row r="26" spans="1:13" x14ac:dyDescent="0.25">
      <c r="A26" s="14" t="e">
        <v>#NUM!</v>
      </c>
      <c r="B26" s="14" t="s">
        <v>167</v>
      </c>
      <c r="D26" s="12" t="e">
        <v>#NUM!</v>
      </c>
      <c r="E26" s="14">
        <v>-25</v>
      </c>
      <c r="F26" s="13"/>
      <c r="G26" s="13" t="e">
        <f>SQRT(E26)</f>
        <v>#NUM!</v>
      </c>
    </row>
    <row r="27" spans="1:13" x14ac:dyDescent="0.25">
      <c r="A27" s="14" t="e">
        <v>#NULL!</v>
      </c>
      <c r="B27" s="14" t="s">
        <v>168</v>
      </c>
      <c r="D27" s="12" t="e">
        <v>#NULL!</v>
      </c>
      <c r="E27" s="14"/>
      <c r="F27" s="13"/>
      <c r="G27" t="e" cm="1">
        <f t="array" ref="G27">J21:J26 K21:K26</f>
        <v>#NULL!</v>
      </c>
    </row>
    <row r="29" spans="1:13" x14ac:dyDescent="0.25">
      <c r="A29" s="30" t="s">
        <v>200</v>
      </c>
      <c r="B29" s="30"/>
      <c r="C29" s="30"/>
      <c r="D29" s="30"/>
      <c r="E29" s="30"/>
      <c r="F29" s="30"/>
      <c r="G29" s="30"/>
      <c r="H29" s="30"/>
      <c r="I29" s="30"/>
      <c r="J29" s="30"/>
      <c r="K29" s="30"/>
      <c r="L29" s="30"/>
      <c r="M29" s="30"/>
    </row>
    <row r="30" spans="1:13" x14ac:dyDescent="0.25">
      <c r="A30" s="30"/>
      <c r="B30" s="30"/>
      <c r="C30" s="30"/>
      <c r="D30" s="30"/>
      <c r="E30" s="30"/>
      <c r="F30" s="30"/>
      <c r="G30" s="30"/>
      <c r="H30" s="30"/>
      <c r="I30" s="30"/>
      <c r="J30" s="30"/>
      <c r="K30" s="30"/>
      <c r="L30" s="30"/>
      <c r="M30" s="30"/>
    </row>
    <row r="32" spans="1:13" x14ac:dyDescent="0.25">
      <c r="B32" s="12" t="s">
        <v>178</v>
      </c>
      <c r="C32" s="12" t="s">
        <v>179</v>
      </c>
      <c r="D32" s="12" t="s">
        <v>180</v>
      </c>
      <c r="E32" s="12" t="s">
        <v>181</v>
      </c>
      <c r="F32" s="7"/>
      <c r="G32" s="29" t="s">
        <v>182</v>
      </c>
    </row>
    <row r="33" spans="1:7" x14ac:dyDescent="0.25">
      <c r="B33" s="14" t="s">
        <v>183</v>
      </c>
      <c r="C33" s="14">
        <v>50000</v>
      </c>
      <c r="D33" s="14">
        <v>10</v>
      </c>
      <c r="E33" s="14">
        <f>C33/D33</f>
        <v>5000</v>
      </c>
      <c r="F33" s="7"/>
      <c r="G33" s="7"/>
    </row>
    <row r="34" spans="1:7" x14ac:dyDescent="0.25">
      <c r="B34" s="14" t="s">
        <v>184</v>
      </c>
      <c r="C34" s="14">
        <v>12000</v>
      </c>
      <c r="D34" s="14">
        <v>5</v>
      </c>
      <c r="E34" s="14">
        <f t="shared" ref="E34:E36" si="0">C34/D34</f>
        <v>2400</v>
      </c>
      <c r="F34" s="7"/>
      <c r="G34" s="7"/>
    </row>
    <row r="35" spans="1:7" x14ac:dyDescent="0.25">
      <c r="B35" s="14" t="s">
        <v>185</v>
      </c>
      <c r="C35" s="14">
        <v>15000</v>
      </c>
      <c r="D35" s="14">
        <v>0</v>
      </c>
      <c r="E35" s="14" t="e">
        <f t="shared" si="0"/>
        <v>#DIV/0!</v>
      </c>
      <c r="F35" s="7"/>
      <c r="G35" s="7"/>
    </row>
    <row r="36" spans="1:7" x14ac:dyDescent="0.25">
      <c r="B36" s="14" t="s">
        <v>186</v>
      </c>
      <c r="C36" s="14">
        <v>32000</v>
      </c>
      <c r="D36" s="14">
        <v>8</v>
      </c>
      <c r="E36" s="14">
        <f t="shared" si="0"/>
        <v>4000</v>
      </c>
      <c r="F36" s="7"/>
      <c r="G36" s="7"/>
    </row>
    <row r="38" spans="1:7" x14ac:dyDescent="0.25">
      <c r="B38" s="19" t="s">
        <v>187</v>
      </c>
    </row>
    <row r="40" spans="1:7" x14ac:dyDescent="0.25">
      <c r="B40" s="12" t="s">
        <v>178</v>
      </c>
      <c r="C40" s="27" t="s">
        <v>179</v>
      </c>
      <c r="D40" s="27" t="s">
        <v>180</v>
      </c>
      <c r="E40" s="27" t="s">
        <v>181</v>
      </c>
      <c r="G40" s="19" t="s">
        <v>182</v>
      </c>
    </row>
    <row r="41" spans="1:7" x14ac:dyDescent="0.25">
      <c r="B41" s="17" t="s">
        <v>183</v>
      </c>
      <c r="C41" s="28">
        <v>50000</v>
      </c>
      <c r="D41" s="28">
        <v>10</v>
      </c>
      <c r="E41" s="28">
        <f>IFERROR(C41/D41,"Quantity is Zero")</f>
        <v>5000</v>
      </c>
    </row>
    <row r="42" spans="1:7" x14ac:dyDescent="0.25">
      <c r="B42" s="17" t="s">
        <v>184</v>
      </c>
      <c r="C42" s="28">
        <v>12000</v>
      </c>
      <c r="D42" s="28">
        <v>5</v>
      </c>
      <c r="E42" s="28">
        <f t="shared" ref="E42:E44" si="1">IFERROR(C42/D42,"Quantity is Zero")</f>
        <v>2400</v>
      </c>
    </row>
    <row r="43" spans="1:7" x14ac:dyDescent="0.25">
      <c r="B43" s="17" t="s">
        <v>185</v>
      </c>
      <c r="C43" s="28">
        <v>15000</v>
      </c>
      <c r="D43" s="28">
        <v>0</v>
      </c>
      <c r="E43" s="28" t="str">
        <f t="shared" si="1"/>
        <v>Quantity is Zero</v>
      </c>
    </row>
    <row r="44" spans="1:7" x14ac:dyDescent="0.25">
      <c r="B44" s="17" t="s">
        <v>186</v>
      </c>
      <c r="C44" s="28">
        <v>32000</v>
      </c>
      <c r="D44" s="28">
        <v>8</v>
      </c>
      <c r="E44" s="28">
        <f t="shared" si="1"/>
        <v>4000</v>
      </c>
    </row>
    <row r="46" spans="1:7" ht="18" x14ac:dyDescent="0.25">
      <c r="A46" s="2" t="s">
        <v>188</v>
      </c>
    </row>
    <row r="48" spans="1:7" x14ac:dyDescent="0.25">
      <c r="A48" s="19" t="s">
        <v>189</v>
      </c>
    </row>
    <row r="50" spans="1:7" x14ac:dyDescent="0.25">
      <c r="B50" s="12" t="s">
        <v>178</v>
      </c>
      <c r="C50" s="12" t="s">
        <v>190</v>
      </c>
      <c r="D50" s="12" t="s">
        <v>191</v>
      </c>
      <c r="E50" s="12" t="s">
        <v>192</v>
      </c>
      <c r="G50" s="19" t="s">
        <v>193</v>
      </c>
    </row>
    <row r="51" spans="1:7" x14ac:dyDescent="0.25">
      <c r="B51" s="14" t="s">
        <v>183</v>
      </c>
      <c r="C51" s="14">
        <v>2</v>
      </c>
      <c r="D51" s="14">
        <v>50000</v>
      </c>
      <c r="E51" s="13">
        <f>C51*D51</f>
        <v>100000</v>
      </c>
    </row>
    <row r="52" spans="1:7" x14ac:dyDescent="0.25">
      <c r="B52" s="14" t="s">
        <v>184</v>
      </c>
      <c r="C52" s="14" t="s">
        <v>201</v>
      </c>
      <c r="D52" s="14">
        <v>500</v>
      </c>
      <c r="E52" s="13" t="e">
        <f t="shared" ref="E52:E53" si="2">C52*D52</f>
        <v>#VALUE!</v>
      </c>
    </row>
    <row r="53" spans="1:7" x14ac:dyDescent="0.25">
      <c r="B53" s="14" t="s">
        <v>185</v>
      </c>
      <c r="C53" s="14">
        <v>3</v>
      </c>
      <c r="D53" s="14">
        <v>1200</v>
      </c>
      <c r="E53" s="13">
        <f t="shared" si="2"/>
        <v>3600</v>
      </c>
    </row>
    <row r="55" spans="1:7" x14ac:dyDescent="0.25">
      <c r="A55" s="19" t="s">
        <v>194</v>
      </c>
    </row>
    <row r="57" spans="1:7" x14ac:dyDescent="0.25">
      <c r="B57" s="12" t="s">
        <v>178</v>
      </c>
      <c r="C57" s="12" t="s">
        <v>190</v>
      </c>
      <c r="D57" s="12" t="s">
        <v>191</v>
      </c>
      <c r="E57" s="12" t="s">
        <v>192</v>
      </c>
    </row>
    <row r="58" spans="1:7" x14ac:dyDescent="0.25">
      <c r="B58" s="14" t="s">
        <v>183</v>
      </c>
      <c r="C58" s="14">
        <v>2</v>
      </c>
      <c r="D58" s="14">
        <v>50000</v>
      </c>
      <c r="E58" s="13">
        <f>IFERROR(C58*D58,"Invalid Input")</f>
        <v>100000</v>
      </c>
    </row>
    <row r="59" spans="1:7" x14ac:dyDescent="0.25">
      <c r="B59" s="14" t="s">
        <v>184</v>
      </c>
      <c r="C59" s="14" t="s">
        <v>201</v>
      </c>
      <c r="D59" s="14">
        <v>500</v>
      </c>
      <c r="E59" s="13" t="str">
        <f t="shared" ref="E59:E60" si="3">IFERROR(C59*D59,"Invalid Input")</f>
        <v>Invalid Input</v>
      </c>
    </row>
    <row r="60" spans="1:7" x14ac:dyDescent="0.25">
      <c r="B60" s="14" t="s">
        <v>185</v>
      </c>
      <c r="C60" s="14">
        <v>3</v>
      </c>
      <c r="D60" s="14">
        <v>1200</v>
      </c>
      <c r="E60" s="13">
        <f t="shared" si="3"/>
        <v>3600</v>
      </c>
    </row>
    <row r="62" spans="1:7" ht="18" x14ac:dyDescent="0.25">
      <c r="A62" s="2" t="s">
        <v>195</v>
      </c>
    </row>
    <row r="64" spans="1:7" x14ac:dyDescent="0.25">
      <c r="A64" s="19" t="s">
        <v>189</v>
      </c>
    </row>
    <row r="66" spans="1:7" x14ac:dyDescent="0.25">
      <c r="B66" s="12" t="s">
        <v>118</v>
      </c>
      <c r="C66" s="12" t="s">
        <v>196</v>
      </c>
      <c r="D66" s="12" t="s">
        <v>197</v>
      </c>
      <c r="G66" s="19" t="s">
        <v>198</v>
      </c>
    </row>
    <row r="67" spans="1:7" x14ac:dyDescent="0.25">
      <c r="B67" s="14" t="s">
        <v>61</v>
      </c>
      <c r="C67" s="14">
        <v>65000</v>
      </c>
      <c r="D67" s="13">
        <f>IF(C67&gt;=50000,C67*10%,"No Bonus")</f>
        <v>6500</v>
      </c>
    </row>
    <row r="68" spans="1:7" x14ac:dyDescent="0.25">
      <c r="B68" s="14" t="s">
        <v>63</v>
      </c>
      <c r="C68" s="14">
        <v>42000</v>
      </c>
      <c r="D68" s="13" t="str">
        <f t="shared" ref="D68:D70" si="4">IF(C68&gt;=50000,C68*10%,"No Bonus")</f>
        <v>No Bonus</v>
      </c>
    </row>
    <row r="69" spans="1:7" x14ac:dyDescent="0.25">
      <c r="B69" s="14" t="s">
        <v>65</v>
      </c>
      <c r="C69" s="12" t="s">
        <v>199</v>
      </c>
      <c r="D69" s="13" t="e">
        <f t="shared" si="4"/>
        <v>#VALUE!</v>
      </c>
    </row>
    <row r="70" spans="1:7" x14ac:dyDescent="0.25">
      <c r="B70" s="14" t="s">
        <v>67</v>
      </c>
      <c r="C70" s="14">
        <v>78000</v>
      </c>
      <c r="D70" s="13">
        <f t="shared" si="4"/>
        <v>7800</v>
      </c>
    </row>
    <row r="72" spans="1:7" x14ac:dyDescent="0.25">
      <c r="A72" s="19" t="s">
        <v>194</v>
      </c>
    </row>
    <row r="74" spans="1:7" x14ac:dyDescent="0.25">
      <c r="B74" s="12" t="s">
        <v>118</v>
      </c>
      <c r="C74" s="12" t="s">
        <v>196</v>
      </c>
      <c r="D74" s="12" t="s">
        <v>197</v>
      </c>
    </row>
    <row r="75" spans="1:7" x14ac:dyDescent="0.25">
      <c r="B75" s="14" t="s">
        <v>61</v>
      </c>
      <c r="C75" s="14">
        <v>65000</v>
      </c>
      <c r="D75" s="13">
        <f>IFERROR(IF(C75&gt;=50000,C75*10%,"No Bonus"),"Invalid Sales")</f>
        <v>6500</v>
      </c>
    </row>
    <row r="76" spans="1:7" x14ac:dyDescent="0.25">
      <c r="B76" s="14" t="s">
        <v>63</v>
      </c>
      <c r="C76" s="14">
        <v>42000</v>
      </c>
      <c r="D76" s="13" t="str">
        <f t="shared" ref="D76:D78" si="5">IFERROR(IF(C76&gt;=50000,C76*10%,"No Bonus"),"Invalid Sales")</f>
        <v>No Bonus</v>
      </c>
    </row>
    <row r="77" spans="1:7" x14ac:dyDescent="0.25">
      <c r="B77" s="14" t="s">
        <v>65</v>
      </c>
      <c r="C77" s="12" t="s">
        <v>199</v>
      </c>
      <c r="D77" s="13" t="str">
        <f t="shared" si="5"/>
        <v>Invalid Sales</v>
      </c>
    </row>
    <row r="78" spans="1:7" x14ac:dyDescent="0.25">
      <c r="B78" s="14" t="s">
        <v>67</v>
      </c>
      <c r="C78" s="14">
        <v>78000</v>
      </c>
      <c r="D78" s="13">
        <f t="shared" si="5"/>
        <v>7800</v>
      </c>
    </row>
  </sheetData>
  <mergeCells count="6">
    <mergeCell ref="A29:M30"/>
    <mergeCell ref="A1:Q2"/>
    <mergeCell ref="C12:E12"/>
    <mergeCell ref="C13:E13"/>
    <mergeCell ref="C11:E11"/>
    <mergeCell ref="B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IF Function</vt:lpstr>
      <vt:lpstr>Question</vt:lpstr>
      <vt:lpstr>Nested IF</vt:lpstr>
      <vt:lpstr>IFERROR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muskan.ansari@itvedant.com</dc:creator>
  <cp:lastModifiedBy>muskan.ansari@itvedant.com</cp:lastModifiedBy>
  <dcterms:created xsi:type="dcterms:W3CDTF">2026-07-30T10:24:12Z</dcterms:created>
  <dcterms:modified xsi:type="dcterms:W3CDTF">2026-08-13T11:12:29Z</dcterms:modified>
</cp:coreProperties>
</file>